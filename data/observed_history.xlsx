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angy\Jupyter\new-manuscript\data\"/>
    </mc:Choice>
  </mc:AlternateContent>
  <xr:revisionPtr revIDLastSave="0" documentId="13_ncr:1_{D6A34CCE-628A-409A-8012-1F25207FA5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3" i="1" l="1"/>
  <c r="Z35" i="1"/>
  <c r="Z34" i="1"/>
  <c r="Z33" i="1"/>
  <c r="Z32" i="1"/>
  <c r="Z31" i="1"/>
  <c r="Z30" i="1"/>
  <c r="Z29" i="1"/>
  <c r="Z25" i="1"/>
  <c r="Z26" i="1"/>
  <c r="Z27" i="1"/>
  <c r="Z28" i="1"/>
</calcChain>
</file>

<file path=xl/sharedStrings.xml><?xml version="1.0" encoding="utf-8"?>
<sst xmlns="http://schemas.openxmlformats.org/spreadsheetml/2006/main" count="164" uniqueCount="57">
  <si>
    <t>cycle</t>
  </si>
  <si>
    <t>candidate_id</t>
  </si>
  <si>
    <t>selection_type</t>
  </si>
  <si>
    <t>precursor_1</t>
  </si>
  <si>
    <t>precursor_2</t>
  </si>
  <si>
    <t>reagent_1</t>
  </si>
  <si>
    <t>mass_1_g</t>
  </si>
  <si>
    <t>mass_2_g</t>
  </si>
  <si>
    <t>pre_1_mmol</t>
  </si>
  <si>
    <t>pre_2_mmol</t>
  </si>
  <si>
    <t>reagent_1_mL</t>
  </si>
  <si>
    <t>temperature</t>
  </si>
  <si>
    <t>time_h</t>
  </si>
  <si>
    <t>pred_Ex_max_nm</t>
  </si>
  <si>
    <t>pred_Em_max_nm</t>
  </si>
  <si>
    <t>pred_QY_%</t>
  </si>
  <si>
    <t>pred_Stokes_shift_nm</t>
  </si>
  <si>
    <t>pred_score_mu</t>
  </si>
  <si>
    <t>pred_score_sigma</t>
  </si>
  <si>
    <t>expected_improvement</t>
  </si>
  <si>
    <t>Ex_max_nm</t>
  </si>
  <si>
    <t>Em_max_nm</t>
  </si>
  <si>
    <t>QY_%</t>
  </si>
  <si>
    <t>Stokes_shift_nm</t>
  </si>
  <si>
    <t>success</t>
  </si>
  <si>
    <t>notes</t>
  </si>
  <si>
    <t>experiment_id</t>
    <phoneticPr fontId="2" type="noConversion"/>
  </si>
  <si>
    <t>Blue</t>
  </si>
  <si>
    <t>Green</t>
  </si>
  <si>
    <t>Orange</t>
  </si>
  <si>
    <t>Yellow</t>
  </si>
  <si>
    <t>DL-Methionine</t>
  </si>
  <si>
    <t>2-Aminoterephthalic acid</t>
  </si>
  <si>
    <t>water</t>
  </si>
  <si>
    <t>o-Phenylenediamine</t>
  </si>
  <si>
    <t>L-Cystine</t>
  </si>
  <si>
    <t>Neutral Red</t>
  </si>
  <si>
    <t>Salicylic acid</t>
  </si>
  <si>
    <t>dimethylformamide</t>
  </si>
  <si>
    <t>L-Lysine</t>
  </si>
  <si>
    <t>L-Threonine</t>
  </si>
  <si>
    <t>ethanol</t>
  </si>
  <si>
    <t>L-Threonine</t>
    <phoneticPr fontId="2" type="noConversion"/>
  </si>
  <si>
    <t>L-Cysteine</t>
    <phoneticPr fontId="2" type="noConversion"/>
  </si>
  <si>
    <t>L-Tyrosine</t>
  </si>
  <si>
    <t>Citric acid</t>
  </si>
  <si>
    <t>L-Leucine</t>
  </si>
  <si>
    <t>p-Aminobenzenesulfonic acid</t>
  </si>
  <si>
    <t>L-Cystine</t>
    <phoneticPr fontId="2" type="noConversion"/>
  </si>
  <si>
    <t>sulfuric acid</t>
  </si>
  <si>
    <t>m-Phenylenediamine</t>
  </si>
  <si>
    <t>Ethanolamine</t>
  </si>
  <si>
    <t>L-Serine</t>
  </si>
  <si>
    <t>Tartaric acid</t>
  </si>
  <si>
    <t>L-Leucine</t>
    <phoneticPr fontId="2" type="noConversion"/>
  </si>
  <si>
    <t>m-Phenylenediamine</t>
    <phoneticPr fontId="2" type="noConversion"/>
  </si>
  <si>
    <t>target_color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</si>
</sst>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5"/>
  <sheetViews>
    <sheetView tabSelected="1" topLeftCell="F5" zoomScaleNormal="100" workbookViewId="0">
      <selection activeCell="W23" sqref="W23"/>
    </sheetView>
  </sheetViews>
  <sheetFormatPr defaultRowHeight="14" x14ac:dyDescent="0.25"/>
  <cols>
    <col min="16" max="16" width="16.81640625" customWidth="1"/>
    <col min="17" max="17" width="13.26953125" customWidth="1"/>
    <col min="18" max="18" width="14.08984375" customWidth="1"/>
  </cols>
  <sheetData>
    <row r="1" spans="1:28" x14ac:dyDescent="0.25">
      <c r="A1" s="1" t="s">
        <v>0</v>
      </c>
      <c r="B1" s="2" t="s">
        <v>26</v>
      </c>
      <c r="C1" s="1" t="s">
        <v>1</v>
      </c>
      <c r="D1" s="1" t="s">
        <v>56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>
        <v>1</v>
      </c>
      <c r="D2" t="s">
        <v>27</v>
      </c>
      <c r="F2" t="s">
        <v>31</v>
      </c>
      <c r="G2" t="s">
        <v>32</v>
      </c>
      <c r="H2" t="s">
        <v>33</v>
      </c>
      <c r="I2">
        <v>0.8</v>
      </c>
      <c r="J2">
        <v>0.8</v>
      </c>
      <c r="K2">
        <v>5.3615709402855032</v>
      </c>
      <c r="L2">
        <v>4.4164734459534074</v>
      </c>
      <c r="M2">
        <v>15</v>
      </c>
      <c r="N2">
        <v>160</v>
      </c>
      <c r="O2">
        <v>4</v>
      </c>
      <c r="P2">
        <v>359.82000732421881</v>
      </c>
      <c r="Q2">
        <v>450.07797241210938</v>
      </c>
      <c r="R2">
        <v>56.5595703125</v>
      </c>
      <c r="S2">
        <v>90.257965087890625</v>
      </c>
      <c r="W2">
        <v>350</v>
      </c>
      <c r="X2">
        <v>445</v>
      </c>
      <c r="Y2">
        <v>77.33</v>
      </c>
      <c r="Z2">
        <v>95</v>
      </c>
      <c r="AA2">
        <v>1</v>
      </c>
    </row>
    <row r="3" spans="1:28" x14ac:dyDescent="0.25">
      <c r="A3">
        <v>1</v>
      </c>
      <c r="D3" t="s">
        <v>28</v>
      </c>
      <c r="F3" t="s">
        <v>34</v>
      </c>
      <c r="G3" t="s">
        <v>35</v>
      </c>
      <c r="H3" t="s">
        <v>33</v>
      </c>
      <c r="I3">
        <v>0.4</v>
      </c>
      <c r="J3">
        <v>1</v>
      </c>
      <c r="K3">
        <v>3.698908821897541</v>
      </c>
      <c r="L3">
        <v>4.1614648356221382</v>
      </c>
      <c r="M3">
        <v>15</v>
      </c>
      <c r="N3">
        <v>200</v>
      </c>
      <c r="O3">
        <v>4</v>
      </c>
      <c r="P3">
        <v>357.88864135742188</v>
      </c>
      <c r="Q3">
        <v>525.0994873046875</v>
      </c>
      <c r="R3">
        <v>13.602755546569821</v>
      </c>
      <c r="S3">
        <v>167.2108459472656</v>
      </c>
      <c r="W3">
        <v>340</v>
      </c>
      <c r="X3">
        <v>390</v>
      </c>
      <c r="Y3">
        <v>9.5299999999999994</v>
      </c>
      <c r="Z3">
        <v>50</v>
      </c>
      <c r="AA3">
        <v>1</v>
      </c>
    </row>
    <row r="4" spans="1:28" x14ac:dyDescent="0.25">
      <c r="A4">
        <v>1</v>
      </c>
      <c r="D4" t="s">
        <v>29</v>
      </c>
      <c r="F4" t="s">
        <v>36</v>
      </c>
      <c r="G4" t="s">
        <v>37</v>
      </c>
      <c r="H4" t="s">
        <v>38</v>
      </c>
      <c r="I4">
        <v>1</v>
      </c>
      <c r="J4">
        <v>0.4</v>
      </c>
      <c r="K4">
        <v>3.4628436872359578</v>
      </c>
      <c r="L4">
        <v>2.8960324355632778</v>
      </c>
      <c r="M4">
        <v>15</v>
      </c>
      <c r="N4">
        <v>200</v>
      </c>
      <c r="O4">
        <v>6</v>
      </c>
      <c r="P4">
        <v>438.82461547851563</v>
      </c>
      <c r="Q4">
        <v>589.9608154296875</v>
      </c>
      <c r="R4">
        <v>16.052093505859379</v>
      </c>
      <c r="S4">
        <v>151.1361999511719</v>
      </c>
      <c r="W4">
        <v>460</v>
      </c>
      <c r="X4">
        <v>580</v>
      </c>
      <c r="Y4">
        <v>18.23</v>
      </c>
      <c r="Z4">
        <v>120</v>
      </c>
      <c r="AA4">
        <v>1</v>
      </c>
    </row>
    <row r="5" spans="1:28" x14ac:dyDescent="0.25">
      <c r="A5">
        <v>1</v>
      </c>
      <c r="D5" t="s">
        <v>30</v>
      </c>
      <c r="F5" t="s">
        <v>39</v>
      </c>
      <c r="G5" t="s">
        <v>36</v>
      </c>
      <c r="H5" t="s">
        <v>38</v>
      </c>
      <c r="I5">
        <v>0.4</v>
      </c>
      <c r="J5">
        <v>0.4</v>
      </c>
      <c r="K5">
        <v>2.7361652643819689</v>
      </c>
      <c r="L5">
        <v>1.385137474894383</v>
      </c>
      <c r="M5">
        <v>15</v>
      </c>
      <c r="N5">
        <v>220</v>
      </c>
      <c r="O5">
        <v>4</v>
      </c>
      <c r="P5">
        <v>409.004638671875</v>
      </c>
      <c r="Q5">
        <v>558.69140625</v>
      </c>
      <c r="R5">
        <v>21.25261306762695</v>
      </c>
      <c r="S5">
        <v>149.686767578125</v>
      </c>
      <c r="W5">
        <v>460</v>
      </c>
      <c r="X5">
        <v>580</v>
      </c>
      <c r="Y5">
        <v>24.06</v>
      </c>
      <c r="Z5">
        <v>120</v>
      </c>
      <c r="AA5">
        <v>1</v>
      </c>
    </row>
    <row r="6" spans="1:28" x14ac:dyDescent="0.25">
      <c r="A6">
        <v>2</v>
      </c>
      <c r="D6" t="s">
        <v>27</v>
      </c>
      <c r="F6" t="s">
        <v>31</v>
      </c>
      <c r="G6" t="s">
        <v>32</v>
      </c>
      <c r="H6" t="s">
        <v>33</v>
      </c>
      <c r="I6">
        <v>0.8</v>
      </c>
      <c r="J6">
        <v>0.8</v>
      </c>
      <c r="K6">
        <v>5.3615709402855032</v>
      </c>
      <c r="L6">
        <v>4.4164734459534074</v>
      </c>
      <c r="M6">
        <v>15</v>
      </c>
      <c r="N6">
        <v>160</v>
      </c>
      <c r="O6">
        <v>4</v>
      </c>
      <c r="P6">
        <v>355.89157104492188</v>
      </c>
      <c r="Q6">
        <v>446.61489868164063</v>
      </c>
      <c r="R6">
        <v>79.069618225097656</v>
      </c>
      <c r="S6">
        <v>90.72332763671875</v>
      </c>
      <c r="W6">
        <v>350</v>
      </c>
      <c r="X6">
        <v>445</v>
      </c>
      <c r="Y6">
        <v>77.33</v>
      </c>
      <c r="Z6">
        <v>95</v>
      </c>
      <c r="AA6">
        <v>1</v>
      </c>
    </row>
    <row r="7" spans="1:28" x14ac:dyDescent="0.25">
      <c r="A7">
        <v>2</v>
      </c>
      <c r="D7" t="s">
        <v>28</v>
      </c>
      <c r="F7" t="s">
        <v>32</v>
      </c>
      <c r="G7" t="s">
        <v>40</v>
      </c>
      <c r="H7" t="s">
        <v>41</v>
      </c>
      <c r="I7">
        <v>0.4</v>
      </c>
      <c r="J7">
        <v>0.6</v>
      </c>
      <c r="K7">
        <v>2.2082367229767028</v>
      </c>
      <c r="L7">
        <v>5.0369375419744804</v>
      </c>
      <c r="M7">
        <v>15</v>
      </c>
      <c r="N7">
        <v>160</v>
      </c>
      <c r="O7">
        <v>6</v>
      </c>
      <c r="P7">
        <v>399.92840576171881</v>
      </c>
      <c r="Q7">
        <v>501.73797607421881</v>
      </c>
      <c r="R7">
        <v>28.600360870361332</v>
      </c>
      <c r="S7">
        <v>101.8095703125</v>
      </c>
      <c r="W7">
        <v>360</v>
      </c>
      <c r="X7">
        <v>440</v>
      </c>
      <c r="Y7">
        <v>73.239999999999995</v>
      </c>
      <c r="Z7">
        <v>80</v>
      </c>
      <c r="AA7">
        <v>1</v>
      </c>
    </row>
    <row r="8" spans="1:28" x14ac:dyDescent="0.25">
      <c r="A8">
        <v>2</v>
      </c>
      <c r="D8" t="s">
        <v>29</v>
      </c>
      <c r="F8" t="s">
        <v>42</v>
      </c>
      <c r="G8" t="s">
        <v>36</v>
      </c>
      <c r="H8" t="s">
        <v>41</v>
      </c>
      <c r="I8">
        <v>0.4</v>
      </c>
      <c r="J8">
        <v>0.2</v>
      </c>
      <c r="K8">
        <v>3.35795836131632</v>
      </c>
      <c r="L8">
        <v>0.69256873744719172</v>
      </c>
      <c r="M8">
        <v>15</v>
      </c>
      <c r="N8">
        <v>160</v>
      </c>
      <c r="O8">
        <v>8</v>
      </c>
      <c r="P8">
        <v>457.82989501953119</v>
      </c>
      <c r="Q8">
        <v>586.20062255859375</v>
      </c>
      <c r="R8">
        <v>22.990291595458981</v>
      </c>
      <c r="S8">
        <v>128.3707275390625</v>
      </c>
      <c r="W8">
        <v>460</v>
      </c>
      <c r="X8">
        <v>575</v>
      </c>
      <c r="Y8">
        <v>34.01</v>
      </c>
      <c r="Z8">
        <v>115</v>
      </c>
      <c r="AA8">
        <v>1</v>
      </c>
    </row>
    <row r="9" spans="1:28" x14ac:dyDescent="0.25">
      <c r="A9">
        <v>2</v>
      </c>
      <c r="D9" t="s">
        <v>30</v>
      </c>
      <c r="F9" t="s">
        <v>43</v>
      </c>
      <c r="G9" t="s">
        <v>36</v>
      </c>
      <c r="H9" t="s">
        <v>38</v>
      </c>
      <c r="I9">
        <v>0.6</v>
      </c>
      <c r="J9">
        <v>0.2</v>
      </c>
      <c r="K9">
        <v>4.9521294156487281</v>
      </c>
      <c r="L9">
        <v>0.69256873744719172</v>
      </c>
      <c r="M9">
        <v>15</v>
      </c>
      <c r="N9">
        <v>200</v>
      </c>
      <c r="O9">
        <v>8</v>
      </c>
      <c r="P9">
        <v>448.39584350585938</v>
      </c>
      <c r="Q9">
        <v>588.546875</v>
      </c>
      <c r="R9">
        <v>21.298923492431641</v>
      </c>
      <c r="S9">
        <v>140.1510314941406</v>
      </c>
      <c r="W9">
        <v>460</v>
      </c>
      <c r="X9">
        <v>580</v>
      </c>
      <c r="Y9">
        <v>29.35</v>
      </c>
      <c r="Z9">
        <v>120</v>
      </c>
      <c r="AA9">
        <v>1</v>
      </c>
    </row>
    <row r="10" spans="1:28" x14ac:dyDescent="0.25">
      <c r="A10">
        <v>3</v>
      </c>
      <c r="D10" t="s">
        <v>27</v>
      </c>
      <c r="F10" t="s">
        <v>32</v>
      </c>
      <c r="G10" t="s">
        <v>44</v>
      </c>
      <c r="H10" t="s">
        <v>38</v>
      </c>
      <c r="I10">
        <v>0.4</v>
      </c>
      <c r="J10">
        <v>1</v>
      </c>
      <c r="K10">
        <v>2.2082367229767028</v>
      </c>
      <c r="L10">
        <v>5.5190683812572443</v>
      </c>
      <c r="M10">
        <v>15</v>
      </c>
      <c r="N10">
        <v>180</v>
      </c>
      <c r="O10">
        <v>6</v>
      </c>
      <c r="P10">
        <v>364.11965942382813</v>
      </c>
      <c r="Q10">
        <v>446.53466796875</v>
      </c>
      <c r="R10">
        <v>57.483165740966797</v>
      </c>
      <c r="S10">
        <v>82.415008544921875</v>
      </c>
      <c r="W10">
        <v>360</v>
      </c>
      <c r="X10">
        <v>435</v>
      </c>
      <c r="Y10">
        <v>85.03</v>
      </c>
      <c r="Z10">
        <v>75</v>
      </c>
      <c r="AA10">
        <v>1</v>
      </c>
    </row>
    <row r="11" spans="1:28" x14ac:dyDescent="0.25">
      <c r="A11">
        <v>3</v>
      </c>
      <c r="D11" t="s">
        <v>28</v>
      </c>
      <c r="F11" t="s">
        <v>45</v>
      </c>
      <c r="G11" t="s">
        <v>36</v>
      </c>
      <c r="H11" t="s">
        <v>41</v>
      </c>
      <c r="I11">
        <v>0.2</v>
      </c>
      <c r="J11">
        <v>0.6</v>
      </c>
      <c r="K11">
        <v>1.0410160316468871</v>
      </c>
      <c r="L11">
        <v>2.077706212341575</v>
      </c>
      <c r="M11">
        <v>15</v>
      </c>
      <c r="N11">
        <v>200</v>
      </c>
      <c r="O11">
        <v>6</v>
      </c>
      <c r="P11">
        <v>384.34512329101563</v>
      </c>
      <c r="Q11">
        <v>505.381591796875</v>
      </c>
      <c r="R11">
        <v>18.447463989257809</v>
      </c>
      <c r="S11">
        <v>121.0364685058594</v>
      </c>
      <c r="W11">
        <v>460</v>
      </c>
      <c r="X11">
        <v>580</v>
      </c>
      <c r="Y11">
        <v>30.15</v>
      </c>
      <c r="Z11">
        <v>120</v>
      </c>
      <c r="AA11">
        <v>1</v>
      </c>
    </row>
    <row r="12" spans="1:28" x14ac:dyDescent="0.25">
      <c r="A12">
        <v>3</v>
      </c>
      <c r="D12" t="s">
        <v>29</v>
      </c>
      <c r="F12" t="s">
        <v>44</v>
      </c>
      <c r="G12" t="s">
        <v>36</v>
      </c>
      <c r="H12" t="s">
        <v>38</v>
      </c>
      <c r="I12">
        <v>0.4</v>
      </c>
      <c r="J12">
        <v>1</v>
      </c>
      <c r="K12">
        <v>2.207627352502898</v>
      </c>
      <c r="L12">
        <v>3.4628436872359578</v>
      </c>
      <c r="M12">
        <v>15</v>
      </c>
      <c r="N12">
        <v>160</v>
      </c>
      <c r="O12">
        <v>4</v>
      </c>
      <c r="P12">
        <v>480.078125</v>
      </c>
      <c r="Q12">
        <v>602.84808349609375</v>
      </c>
      <c r="R12">
        <v>20.912322998046879</v>
      </c>
      <c r="S12">
        <v>122.76995849609381</v>
      </c>
      <c r="W12">
        <v>460</v>
      </c>
      <c r="X12">
        <v>580</v>
      </c>
      <c r="Y12">
        <v>22.95</v>
      </c>
      <c r="Z12">
        <v>120</v>
      </c>
      <c r="AA12">
        <v>1</v>
      </c>
    </row>
    <row r="13" spans="1:28" x14ac:dyDescent="0.25">
      <c r="A13">
        <v>3</v>
      </c>
      <c r="D13" t="s">
        <v>30</v>
      </c>
      <c r="F13" t="s">
        <v>46</v>
      </c>
      <c r="G13" t="s">
        <v>36</v>
      </c>
      <c r="H13" t="s">
        <v>38</v>
      </c>
      <c r="I13">
        <v>1</v>
      </c>
      <c r="J13">
        <v>1</v>
      </c>
      <c r="K13">
        <v>7.6236944423267516</v>
      </c>
      <c r="L13">
        <v>3.4628436872359578</v>
      </c>
      <c r="M13">
        <v>15</v>
      </c>
      <c r="N13">
        <v>180</v>
      </c>
      <c r="O13">
        <v>6</v>
      </c>
      <c r="P13">
        <v>444.55557250976563</v>
      </c>
      <c r="Q13">
        <v>576.7830810546875</v>
      </c>
      <c r="R13">
        <v>20.335317611694339</v>
      </c>
      <c r="S13">
        <v>132.2275085449219</v>
      </c>
      <c r="W13">
        <v>460</v>
      </c>
      <c r="X13">
        <v>570</v>
      </c>
      <c r="Y13">
        <v>23.29</v>
      </c>
      <c r="Z13">
        <v>110</v>
      </c>
      <c r="AA13">
        <v>1</v>
      </c>
    </row>
    <row r="14" spans="1:28" x14ac:dyDescent="0.25">
      <c r="A14">
        <v>4</v>
      </c>
      <c r="D14" t="s">
        <v>27</v>
      </c>
      <c r="F14" t="s">
        <v>32</v>
      </c>
      <c r="G14" t="s">
        <v>31</v>
      </c>
      <c r="H14" t="s">
        <v>41</v>
      </c>
      <c r="I14">
        <v>0.2</v>
      </c>
      <c r="J14">
        <v>0.8</v>
      </c>
      <c r="K14">
        <v>1.1041183614883521</v>
      </c>
      <c r="L14">
        <v>5.3615709402855032</v>
      </c>
      <c r="M14">
        <v>15</v>
      </c>
      <c r="N14">
        <v>180</v>
      </c>
      <c r="O14">
        <v>4</v>
      </c>
      <c r="P14">
        <v>368.790283203125</v>
      </c>
      <c r="Q14">
        <v>447.08651733398438</v>
      </c>
      <c r="R14">
        <v>71.512001037597656</v>
      </c>
      <c r="S14">
        <v>78.296234130859375</v>
      </c>
      <c r="W14">
        <v>360</v>
      </c>
      <c r="X14">
        <v>435</v>
      </c>
      <c r="Y14">
        <v>66.23</v>
      </c>
      <c r="Z14">
        <v>75</v>
      </c>
      <c r="AA14">
        <v>1</v>
      </c>
    </row>
    <row r="15" spans="1:28" x14ac:dyDescent="0.25">
      <c r="A15">
        <v>4</v>
      </c>
      <c r="D15" t="s">
        <v>28</v>
      </c>
      <c r="F15" t="s">
        <v>32</v>
      </c>
      <c r="G15" t="s">
        <v>36</v>
      </c>
      <c r="H15" t="s">
        <v>41</v>
      </c>
      <c r="I15">
        <v>0.4</v>
      </c>
      <c r="J15">
        <v>0.4</v>
      </c>
      <c r="K15">
        <v>2.2082367229767028</v>
      </c>
      <c r="L15">
        <v>1.385137474894383</v>
      </c>
      <c r="M15">
        <v>15</v>
      </c>
      <c r="N15">
        <v>200</v>
      </c>
      <c r="O15">
        <v>6</v>
      </c>
      <c r="P15">
        <v>393.52114868164063</v>
      </c>
      <c r="Q15">
        <v>518.91943359375</v>
      </c>
      <c r="R15">
        <v>41.358253479003913</v>
      </c>
      <c r="S15">
        <v>125.3982849121094</v>
      </c>
      <c r="W15">
        <v>370</v>
      </c>
      <c r="X15">
        <v>440</v>
      </c>
      <c r="Y15">
        <v>35.15</v>
      </c>
      <c r="Z15">
        <v>70</v>
      </c>
      <c r="AA15">
        <v>1</v>
      </c>
    </row>
    <row r="16" spans="1:28" x14ac:dyDescent="0.25">
      <c r="A16">
        <v>4</v>
      </c>
      <c r="D16" t="s">
        <v>29</v>
      </c>
      <c r="F16" t="s">
        <v>36</v>
      </c>
      <c r="G16" t="s">
        <v>47</v>
      </c>
      <c r="H16" t="s">
        <v>41</v>
      </c>
      <c r="I16">
        <v>0.6</v>
      </c>
      <c r="J16">
        <v>0.6</v>
      </c>
      <c r="K16">
        <v>2.077706212341575</v>
      </c>
      <c r="L16">
        <v>3.464403256539061</v>
      </c>
      <c r="M16">
        <v>15</v>
      </c>
      <c r="N16">
        <v>160</v>
      </c>
      <c r="O16">
        <v>4</v>
      </c>
      <c r="P16">
        <v>458.59893798828119</v>
      </c>
      <c r="Q16">
        <v>580.1710205078125</v>
      </c>
      <c r="R16">
        <v>25.136117935180661</v>
      </c>
      <c r="S16">
        <v>121.57208251953119</v>
      </c>
      <c r="W16">
        <v>460</v>
      </c>
      <c r="X16">
        <v>580</v>
      </c>
      <c r="Y16">
        <v>23.85</v>
      </c>
      <c r="Z16">
        <v>120</v>
      </c>
      <c r="AA16">
        <v>1</v>
      </c>
    </row>
    <row r="17" spans="1:27" x14ac:dyDescent="0.25">
      <c r="A17">
        <v>4</v>
      </c>
      <c r="D17" t="s">
        <v>30</v>
      </c>
      <c r="F17" t="s">
        <v>35</v>
      </c>
      <c r="G17" t="s">
        <v>36</v>
      </c>
      <c r="H17" t="s">
        <v>41</v>
      </c>
      <c r="I17">
        <v>1</v>
      </c>
      <c r="J17">
        <v>0.2</v>
      </c>
      <c r="K17">
        <v>4.1614648356221382</v>
      </c>
      <c r="L17">
        <v>0.69256873744719172</v>
      </c>
      <c r="M17">
        <v>15</v>
      </c>
      <c r="N17">
        <v>180</v>
      </c>
      <c r="O17">
        <v>4</v>
      </c>
      <c r="P17">
        <v>456.91912841796881</v>
      </c>
      <c r="Q17">
        <v>579.77325439453125</v>
      </c>
      <c r="R17">
        <v>25.732809066772461</v>
      </c>
      <c r="S17">
        <v>122.8541259765625</v>
      </c>
      <c r="W17">
        <v>460</v>
      </c>
      <c r="X17">
        <v>580</v>
      </c>
      <c r="Y17">
        <v>27.32</v>
      </c>
      <c r="Z17">
        <v>120</v>
      </c>
      <c r="AA17">
        <v>1</v>
      </c>
    </row>
    <row r="18" spans="1:27" x14ac:dyDescent="0.25">
      <c r="A18">
        <v>5</v>
      </c>
      <c r="D18" t="s">
        <v>27</v>
      </c>
      <c r="F18" t="s">
        <v>31</v>
      </c>
      <c r="G18" t="s">
        <v>32</v>
      </c>
      <c r="H18" t="s">
        <v>41</v>
      </c>
      <c r="I18">
        <v>0.6</v>
      </c>
      <c r="J18">
        <v>0.2</v>
      </c>
      <c r="K18">
        <v>4.0211782052141274</v>
      </c>
      <c r="L18">
        <v>1.1041183614883521</v>
      </c>
      <c r="M18">
        <v>15</v>
      </c>
      <c r="N18">
        <v>160</v>
      </c>
      <c r="O18">
        <v>8</v>
      </c>
      <c r="P18">
        <v>369.25323486328119</v>
      </c>
      <c r="Q18">
        <v>451.395263671875</v>
      </c>
      <c r="R18">
        <v>54.641033172607422</v>
      </c>
      <c r="S18">
        <v>82.14202880859375</v>
      </c>
      <c r="W18">
        <v>360</v>
      </c>
      <c r="X18">
        <v>435</v>
      </c>
      <c r="Y18">
        <v>51.41</v>
      </c>
      <c r="Z18">
        <v>75</v>
      </c>
      <c r="AA18">
        <v>1</v>
      </c>
    </row>
    <row r="19" spans="1:27" x14ac:dyDescent="0.25">
      <c r="A19">
        <v>5</v>
      </c>
      <c r="D19" t="s">
        <v>28</v>
      </c>
      <c r="F19" t="s">
        <v>36</v>
      </c>
      <c r="G19" t="s">
        <v>34</v>
      </c>
      <c r="H19" t="s">
        <v>41</v>
      </c>
      <c r="I19">
        <v>0.6</v>
      </c>
      <c r="J19">
        <v>0.6</v>
      </c>
      <c r="K19">
        <v>2.077706212341575</v>
      </c>
      <c r="L19">
        <v>5.5350553505000004</v>
      </c>
      <c r="M19">
        <v>15</v>
      </c>
      <c r="N19">
        <v>180</v>
      </c>
      <c r="O19">
        <v>6</v>
      </c>
      <c r="P19">
        <v>407.80636596679688</v>
      </c>
      <c r="Q19">
        <v>497.60610961914063</v>
      </c>
      <c r="R19">
        <v>35.665637969970703</v>
      </c>
      <c r="S19">
        <v>89.79974365234375</v>
      </c>
      <c r="W19">
        <v>460</v>
      </c>
      <c r="X19">
        <v>585</v>
      </c>
      <c r="Y19">
        <v>21.39</v>
      </c>
      <c r="Z19">
        <v>125</v>
      </c>
      <c r="AA19">
        <v>1</v>
      </c>
    </row>
    <row r="20" spans="1:27" x14ac:dyDescent="0.25">
      <c r="A20">
        <v>5</v>
      </c>
      <c r="D20" t="s">
        <v>29</v>
      </c>
      <c r="F20" t="s">
        <v>36</v>
      </c>
      <c r="G20" t="s">
        <v>42</v>
      </c>
      <c r="H20" t="s">
        <v>49</v>
      </c>
      <c r="I20">
        <v>0.8</v>
      </c>
      <c r="J20">
        <v>0.4</v>
      </c>
      <c r="K20">
        <v>2.7702749497887669</v>
      </c>
      <c r="L20">
        <v>3.35795836131632</v>
      </c>
      <c r="M20">
        <v>15</v>
      </c>
      <c r="N20">
        <v>200</v>
      </c>
      <c r="O20">
        <v>8</v>
      </c>
      <c r="P20">
        <v>452.68194580078119</v>
      </c>
      <c r="Q20">
        <v>584.9578857421875</v>
      </c>
      <c r="R20">
        <v>19.892719268798832</v>
      </c>
      <c r="S20">
        <v>132.27593994140619</v>
      </c>
      <c r="W20">
        <v>540</v>
      </c>
      <c r="X20">
        <v>610</v>
      </c>
      <c r="Y20">
        <v>4.74</v>
      </c>
      <c r="Z20">
        <v>70</v>
      </c>
      <c r="AA20">
        <v>1</v>
      </c>
    </row>
    <row r="21" spans="1:27" x14ac:dyDescent="0.25">
      <c r="A21">
        <v>5</v>
      </c>
      <c r="D21" t="s">
        <v>30</v>
      </c>
      <c r="F21" t="s">
        <v>48</v>
      </c>
      <c r="G21" t="s">
        <v>36</v>
      </c>
      <c r="H21" t="s">
        <v>41</v>
      </c>
      <c r="I21">
        <v>1</v>
      </c>
      <c r="J21">
        <v>0.2</v>
      </c>
      <c r="K21">
        <v>4.1614648356221382</v>
      </c>
      <c r="L21">
        <v>0.69256873744719172</v>
      </c>
      <c r="M21">
        <v>15</v>
      </c>
      <c r="N21">
        <v>220</v>
      </c>
      <c r="O21">
        <v>4</v>
      </c>
      <c r="P21">
        <v>443.76284790039063</v>
      </c>
      <c r="Q21">
        <v>568.69415283203125</v>
      </c>
      <c r="R21">
        <v>23.728469848632809</v>
      </c>
      <c r="S21">
        <v>124.9313049316406</v>
      </c>
      <c r="W21">
        <v>460</v>
      </c>
      <c r="X21">
        <v>570</v>
      </c>
      <c r="Y21">
        <v>24.77</v>
      </c>
      <c r="Z21">
        <v>110</v>
      </c>
      <c r="AA21">
        <v>1</v>
      </c>
    </row>
    <row r="22" spans="1:27" x14ac:dyDescent="0.25">
      <c r="A22">
        <v>6</v>
      </c>
      <c r="D22" t="s">
        <v>28</v>
      </c>
      <c r="F22" t="s">
        <v>35</v>
      </c>
      <c r="G22" t="s">
        <v>50</v>
      </c>
      <c r="H22" t="s">
        <v>33</v>
      </c>
      <c r="I22">
        <v>0.6</v>
      </c>
      <c r="J22">
        <v>1</v>
      </c>
      <c r="K22">
        <v>2.4968789013732828</v>
      </c>
      <c r="L22">
        <v>9.2472720547438509</v>
      </c>
      <c r="M22">
        <v>15</v>
      </c>
      <c r="N22">
        <v>160</v>
      </c>
      <c r="O22">
        <v>4</v>
      </c>
      <c r="P22">
        <v>369.87896728515619</v>
      </c>
      <c r="Q22">
        <v>497.07208251953119</v>
      </c>
      <c r="R22">
        <v>22.126628875732418</v>
      </c>
      <c r="S22">
        <v>127.193115234375</v>
      </c>
      <c r="W22">
        <v>440</v>
      </c>
      <c r="X22">
        <v>510</v>
      </c>
      <c r="Y22">
        <v>22.35</v>
      </c>
      <c r="Z22">
        <v>70</v>
      </c>
      <c r="AA22">
        <v>1</v>
      </c>
    </row>
    <row r="23" spans="1:27" x14ac:dyDescent="0.25">
      <c r="A23">
        <v>6</v>
      </c>
      <c r="D23" t="s">
        <v>29</v>
      </c>
      <c r="F23" t="s">
        <v>50</v>
      </c>
      <c r="G23" t="s">
        <v>36</v>
      </c>
      <c r="H23" t="s">
        <v>38</v>
      </c>
      <c r="I23">
        <v>0.8</v>
      </c>
      <c r="J23">
        <v>0.4</v>
      </c>
      <c r="K23">
        <v>7.3978176437950811</v>
      </c>
      <c r="L23">
        <v>1.385137474894383</v>
      </c>
      <c r="M23">
        <v>15</v>
      </c>
      <c r="N23">
        <v>160</v>
      </c>
      <c r="O23">
        <v>6</v>
      </c>
      <c r="P23">
        <v>456.71875</v>
      </c>
      <c r="Q23">
        <v>582.86749267578125</v>
      </c>
      <c r="R23">
        <v>29.4178581237793</v>
      </c>
      <c r="S23">
        <v>126.14874267578119</v>
      </c>
      <c r="W23">
        <v>460</v>
      </c>
      <c r="X23">
        <v>595</v>
      </c>
      <c r="Y23">
        <v>35.56</v>
      </c>
      <c r="Z23">
        <f>X23-W23</f>
        <v>135</v>
      </c>
      <c r="AA23">
        <v>1</v>
      </c>
    </row>
    <row r="24" spans="1:27" x14ac:dyDescent="0.25">
      <c r="A24">
        <v>6</v>
      </c>
      <c r="D24" t="s">
        <v>30</v>
      </c>
      <c r="F24" t="s">
        <v>51</v>
      </c>
      <c r="G24" t="s">
        <v>36</v>
      </c>
      <c r="H24" t="s">
        <v>41</v>
      </c>
      <c r="I24">
        <v>0.8</v>
      </c>
      <c r="J24">
        <v>0.6</v>
      </c>
      <c r="K24">
        <v>13.097576948264569</v>
      </c>
      <c r="L24">
        <v>2.077706212341575</v>
      </c>
      <c r="M24">
        <v>15</v>
      </c>
      <c r="N24">
        <v>200</v>
      </c>
      <c r="O24">
        <v>6</v>
      </c>
      <c r="P24">
        <v>449.03118896484381</v>
      </c>
      <c r="Q24">
        <v>565.4500732421875</v>
      </c>
      <c r="R24">
        <v>26.588741302490231</v>
      </c>
      <c r="S24">
        <v>116.41888427734381</v>
      </c>
      <c r="W24">
        <v>460</v>
      </c>
      <c r="X24">
        <v>560</v>
      </c>
      <c r="Y24">
        <v>32.01</v>
      </c>
      <c r="Z24">
        <v>120</v>
      </c>
      <c r="AA24">
        <v>1</v>
      </c>
    </row>
    <row r="25" spans="1:27" x14ac:dyDescent="0.25">
      <c r="A25">
        <v>7</v>
      </c>
      <c r="D25" t="s">
        <v>28</v>
      </c>
      <c r="F25" t="s">
        <v>35</v>
      </c>
      <c r="G25" t="s">
        <v>50</v>
      </c>
      <c r="H25" t="s">
        <v>41</v>
      </c>
      <c r="I25">
        <v>0.4</v>
      </c>
      <c r="J25">
        <v>0.6</v>
      </c>
      <c r="K25">
        <v>1.664585934248856</v>
      </c>
      <c r="L25">
        <v>5.5483632328463104</v>
      </c>
      <c r="M25">
        <v>15</v>
      </c>
      <c r="N25">
        <v>180</v>
      </c>
      <c r="O25">
        <v>8</v>
      </c>
      <c r="P25">
        <v>393.31607055664063</v>
      </c>
      <c r="Q25">
        <v>515.55999755859375</v>
      </c>
      <c r="R25">
        <v>20.544246673583981</v>
      </c>
      <c r="S25">
        <v>122.2439270019531</v>
      </c>
      <c r="W25">
        <v>460</v>
      </c>
      <c r="X25">
        <v>505</v>
      </c>
      <c r="Y25">
        <v>35.44</v>
      </c>
      <c r="Z25">
        <f t="shared" ref="Z25:Z27" si="0">X25-W25</f>
        <v>45</v>
      </c>
      <c r="AA25">
        <v>1</v>
      </c>
    </row>
    <row r="26" spans="1:27" x14ac:dyDescent="0.25">
      <c r="A26">
        <v>7</v>
      </c>
      <c r="D26" t="s">
        <v>30</v>
      </c>
      <c r="F26" t="s">
        <v>52</v>
      </c>
      <c r="G26" t="s">
        <v>36</v>
      </c>
      <c r="H26" t="s">
        <v>38</v>
      </c>
      <c r="I26">
        <v>0.4</v>
      </c>
      <c r="J26">
        <v>0.4</v>
      </c>
      <c r="K26">
        <v>3.8062612998382339</v>
      </c>
      <c r="L26">
        <v>1.385137474894383</v>
      </c>
      <c r="M26">
        <v>15</v>
      </c>
      <c r="N26">
        <v>220</v>
      </c>
      <c r="O26">
        <v>4</v>
      </c>
      <c r="P26">
        <v>455.58544921875</v>
      </c>
      <c r="Q26">
        <v>581.44940185546875</v>
      </c>
      <c r="R26">
        <v>24.1661491394043</v>
      </c>
      <c r="S26">
        <v>125.86395263671881</v>
      </c>
      <c r="W26">
        <v>460</v>
      </c>
      <c r="X26">
        <v>570</v>
      </c>
      <c r="Y26">
        <v>36.76</v>
      </c>
      <c r="Z26">
        <f t="shared" si="0"/>
        <v>110</v>
      </c>
      <c r="AA26">
        <v>1</v>
      </c>
    </row>
    <row r="27" spans="1:27" x14ac:dyDescent="0.25">
      <c r="A27">
        <v>8</v>
      </c>
      <c r="D27" t="s">
        <v>28</v>
      </c>
      <c r="F27" t="s">
        <v>34</v>
      </c>
      <c r="G27" t="s">
        <v>53</v>
      </c>
      <c r="H27" t="s">
        <v>41</v>
      </c>
      <c r="I27">
        <v>1</v>
      </c>
      <c r="J27">
        <v>1</v>
      </c>
      <c r="K27">
        <v>9.2472720547438509</v>
      </c>
      <c r="L27">
        <v>6.6626690652275302</v>
      </c>
      <c r="M27">
        <v>15</v>
      </c>
      <c r="N27">
        <v>160</v>
      </c>
      <c r="O27">
        <v>4</v>
      </c>
      <c r="P27">
        <v>360.36727905273438</v>
      </c>
      <c r="Q27">
        <v>504.35073852539063</v>
      </c>
      <c r="R27">
        <v>12.670632362365721</v>
      </c>
      <c r="S27">
        <v>143.98345947265619</v>
      </c>
      <c r="W27">
        <v>420</v>
      </c>
      <c r="X27">
        <v>515</v>
      </c>
      <c r="Y27">
        <v>38.19</v>
      </c>
      <c r="Z27">
        <f t="shared" si="0"/>
        <v>95</v>
      </c>
      <c r="AA27">
        <v>1</v>
      </c>
    </row>
    <row r="28" spans="1:27" x14ac:dyDescent="0.25">
      <c r="A28">
        <v>9</v>
      </c>
      <c r="D28" t="s">
        <v>28</v>
      </c>
      <c r="F28" t="s">
        <v>46</v>
      </c>
      <c r="G28" t="s">
        <v>34</v>
      </c>
      <c r="H28" t="s">
        <v>38</v>
      </c>
      <c r="I28">
        <v>0.4</v>
      </c>
      <c r="J28">
        <v>1</v>
      </c>
      <c r="K28">
        <v>3.0494777769307011</v>
      </c>
      <c r="L28">
        <v>9.2472720547438509</v>
      </c>
      <c r="M28">
        <v>15</v>
      </c>
      <c r="N28">
        <v>220</v>
      </c>
      <c r="O28">
        <v>8</v>
      </c>
      <c r="P28">
        <v>394.10885620117188</v>
      </c>
      <c r="Q28">
        <v>511.65438842773438</v>
      </c>
      <c r="R28">
        <v>18.803030014038089</v>
      </c>
      <c r="S28">
        <v>117.5455322265625</v>
      </c>
      <c r="W28">
        <v>380</v>
      </c>
      <c r="X28">
        <v>515</v>
      </c>
      <c r="Y28">
        <v>17.25</v>
      </c>
      <c r="Z28">
        <f t="shared" ref="Z28:Z35" si="1">X28-W28</f>
        <v>135</v>
      </c>
      <c r="AA28">
        <v>1</v>
      </c>
    </row>
    <row r="29" spans="1:27" x14ac:dyDescent="0.25">
      <c r="A29">
        <v>10</v>
      </c>
      <c r="D29" t="s">
        <v>28</v>
      </c>
      <c r="F29" t="s">
        <v>54</v>
      </c>
      <c r="G29" t="s">
        <v>55</v>
      </c>
      <c r="H29" t="s">
        <v>41</v>
      </c>
      <c r="I29">
        <v>0.8</v>
      </c>
      <c r="J29">
        <v>0.2</v>
      </c>
      <c r="K29">
        <v>6.0989555538614022</v>
      </c>
      <c r="L29">
        <v>1.8494544109487701</v>
      </c>
      <c r="M29">
        <v>15</v>
      </c>
      <c r="N29">
        <v>160</v>
      </c>
      <c r="O29">
        <v>6</v>
      </c>
      <c r="P29">
        <v>408.9998779296875</v>
      </c>
      <c r="Q29">
        <v>498.31900024414063</v>
      </c>
      <c r="R29">
        <v>28.530696868896481</v>
      </c>
      <c r="S29">
        <v>89.319122314453125</v>
      </c>
      <c r="W29">
        <v>460</v>
      </c>
      <c r="X29">
        <v>500</v>
      </c>
      <c r="Y29">
        <v>30.04</v>
      </c>
      <c r="Z29">
        <f t="shared" si="1"/>
        <v>40</v>
      </c>
      <c r="AA29">
        <v>1</v>
      </c>
    </row>
    <row r="30" spans="1:27" x14ac:dyDescent="0.25">
      <c r="A30">
        <v>11</v>
      </c>
      <c r="D30" t="s">
        <v>28</v>
      </c>
      <c r="F30" t="s">
        <v>34</v>
      </c>
      <c r="G30" t="s">
        <v>53</v>
      </c>
      <c r="H30" t="s">
        <v>41</v>
      </c>
      <c r="I30">
        <v>0.6</v>
      </c>
      <c r="J30">
        <v>0.4</v>
      </c>
      <c r="K30">
        <v>5.5483632328463104</v>
      </c>
      <c r="L30">
        <v>2.665067626091012</v>
      </c>
      <c r="M30">
        <v>15</v>
      </c>
      <c r="N30">
        <v>160</v>
      </c>
      <c r="O30">
        <v>8</v>
      </c>
      <c r="P30">
        <v>389.33688354492188</v>
      </c>
      <c r="Q30">
        <v>494.34228515625</v>
      </c>
      <c r="R30">
        <v>25.670211791992191</v>
      </c>
      <c r="S30">
        <v>105.0054016113281</v>
      </c>
      <c r="W30">
        <v>420</v>
      </c>
      <c r="X30">
        <v>515</v>
      </c>
      <c r="Y30">
        <v>28.5</v>
      </c>
      <c r="Z30">
        <f t="shared" si="1"/>
        <v>95</v>
      </c>
      <c r="AA30">
        <v>1</v>
      </c>
    </row>
    <row r="31" spans="1:27" x14ac:dyDescent="0.25">
      <c r="A31">
        <v>12</v>
      </c>
      <c r="D31" t="s">
        <v>28</v>
      </c>
      <c r="F31" t="s">
        <v>34</v>
      </c>
      <c r="G31" t="s">
        <v>40</v>
      </c>
      <c r="H31" t="s">
        <v>41</v>
      </c>
      <c r="I31">
        <v>1</v>
      </c>
      <c r="J31">
        <v>0.6</v>
      </c>
      <c r="K31">
        <v>9.2472720547438509</v>
      </c>
      <c r="L31">
        <v>5.0369375419744804</v>
      </c>
      <c r="M31">
        <v>15</v>
      </c>
      <c r="N31">
        <v>220</v>
      </c>
      <c r="O31">
        <v>4</v>
      </c>
      <c r="P31">
        <v>376.210693359375</v>
      </c>
      <c r="Q31">
        <v>512.86181640625</v>
      </c>
      <c r="R31">
        <v>12.43769645690918</v>
      </c>
      <c r="S31">
        <v>136.651123046875</v>
      </c>
      <c r="W31">
        <v>380</v>
      </c>
      <c r="X31">
        <v>530</v>
      </c>
      <c r="Y31">
        <v>35.06</v>
      </c>
      <c r="Z31">
        <f t="shared" si="1"/>
        <v>150</v>
      </c>
      <c r="AA31">
        <v>1</v>
      </c>
    </row>
    <row r="32" spans="1:27" x14ac:dyDescent="0.25">
      <c r="A32">
        <v>13</v>
      </c>
      <c r="D32" t="s">
        <v>28</v>
      </c>
      <c r="F32" t="s">
        <v>34</v>
      </c>
      <c r="G32" t="s">
        <v>53</v>
      </c>
      <c r="H32" t="s">
        <v>41</v>
      </c>
      <c r="I32">
        <v>0.8</v>
      </c>
      <c r="J32">
        <v>0.2</v>
      </c>
      <c r="K32">
        <v>7.3978176437950811</v>
      </c>
      <c r="L32">
        <v>1.332533813045506</v>
      </c>
      <c r="M32">
        <v>15</v>
      </c>
      <c r="N32">
        <v>200</v>
      </c>
      <c r="O32">
        <v>6</v>
      </c>
      <c r="P32">
        <v>399.20126342773438</v>
      </c>
      <c r="Q32">
        <v>500.23828125</v>
      </c>
      <c r="R32">
        <v>26.30306434631348</v>
      </c>
      <c r="S32">
        <v>101.0370178222656</v>
      </c>
      <c r="W32">
        <v>420</v>
      </c>
      <c r="X32">
        <v>515</v>
      </c>
      <c r="Y32">
        <v>14</v>
      </c>
      <c r="Z32">
        <f t="shared" si="1"/>
        <v>95</v>
      </c>
      <c r="AA32">
        <v>1</v>
      </c>
    </row>
    <row r="33" spans="1:27" x14ac:dyDescent="0.25">
      <c r="A33">
        <v>14</v>
      </c>
      <c r="D33" t="s">
        <v>28</v>
      </c>
      <c r="F33" t="s">
        <v>47</v>
      </c>
      <c r="G33" t="s">
        <v>36</v>
      </c>
      <c r="H33" t="s">
        <v>41</v>
      </c>
      <c r="I33">
        <v>0.4</v>
      </c>
      <c r="J33">
        <v>0.4</v>
      </c>
      <c r="K33">
        <v>2.3096021710260408</v>
      </c>
      <c r="L33">
        <v>1.385137474894383</v>
      </c>
      <c r="M33">
        <v>15</v>
      </c>
      <c r="N33">
        <v>180</v>
      </c>
      <c r="O33">
        <v>8</v>
      </c>
      <c r="P33">
        <v>427.80657958984381</v>
      </c>
      <c r="Q33">
        <v>542.5008544921875</v>
      </c>
      <c r="R33">
        <v>19.602602005004879</v>
      </c>
      <c r="S33">
        <v>114.69427490234381</v>
      </c>
      <c r="W33">
        <v>460</v>
      </c>
      <c r="X33">
        <v>580</v>
      </c>
      <c r="Y33">
        <v>22.13</v>
      </c>
      <c r="Z33">
        <f t="shared" si="1"/>
        <v>120</v>
      </c>
      <c r="AA33">
        <v>1</v>
      </c>
    </row>
    <row r="34" spans="1:27" x14ac:dyDescent="0.25">
      <c r="A34">
        <v>15</v>
      </c>
      <c r="D34" t="s">
        <v>28</v>
      </c>
      <c r="F34" t="s">
        <v>34</v>
      </c>
      <c r="G34" t="s">
        <v>39</v>
      </c>
      <c r="H34" t="s">
        <v>41</v>
      </c>
      <c r="I34">
        <v>0.4</v>
      </c>
      <c r="J34">
        <v>1</v>
      </c>
      <c r="K34">
        <v>3.698908821897541</v>
      </c>
      <c r="L34">
        <v>6.8404131609549221</v>
      </c>
      <c r="M34">
        <v>15</v>
      </c>
      <c r="N34">
        <v>180</v>
      </c>
      <c r="O34">
        <v>8</v>
      </c>
      <c r="P34">
        <v>387.13418579101563</v>
      </c>
      <c r="Q34">
        <v>512.3270263671875</v>
      </c>
      <c r="R34">
        <v>14.580696105957029</v>
      </c>
      <c r="S34">
        <v>125.1928405761719</v>
      </c>
      <c r="W34">
        <v>430</v>
      </c>
      <c r="X34">
        <v>530</v>
      </c>
      <c r="Y34">
        <v>16.88</v>
      </c>
      <c r="Z34">
        <f t="shared" si="1"/>
        <v>100</v>
      </c>
      <c r="AA34">
        <v>1</v>
      </c>
    </row>
    <row r="35" spans="1:27" x14ac:dyDescent="0.25">
      <c r="A35">
        <v>16</v>
      </c>
      <c r="D35" t="s">
        <v>28</v>
      </c>
      <c r="F35" t="s">
        <v>37</v>
      </c>
      <c r="G35" t="s">
        <v>50</v>
      </c>
      <c r="H35" t="s">
        <v>38</v>
      </c>
      <c r="I35">
        <v>0.2</v>
      </c>
      <c r="J35">
        <v>0.8</v>
      </c>
      <c r="K35">
        <v>1.4480162177816389</v>
      </c>
      <c r="L35">
        <v>7.3978176437950811</v>
      </c>
      <c r="M35">
        <v>15</v>
      </c>
      <c r="N35">
        <v>180</v>
      </c>
      <c r="O35">
        <v>6</v>
      </c>
      <c r="P35">
        <v>444.6123046875</v>
      </c>
      <c r="Q35">
        <v>511.02801513671881</v>
      </c>
      <c r="R35">
        <v>30.880874633789059</v>
      </c>
      <c r="S35">
        <v>66.41571044921875</v>
      </c>
      <c r="W35">
        <v>460</v>
      </c>
      <c r="X35">
        <v>505</v>
      </c>
      <c r="Y35">
        <v>6.82</v>
      </c>
      <c r="Z35">
        <f t="shared" si="1"/>
        <v>45</v>
      </c>
      <c r="AA35">
        <v>1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#TANG YAOYAO#</cp:lastModifiedBy>
  <dcterms:created xsi:type="dcterms:W3CDTF">2026-06-19T03:31:47Z</dcterms:created>
  <dcterms:modified xsi:type="dcterms:W3CDTF">2026-07-22T15:43:07Z</dcterms:modified>
</cp:coreProperties>
</file>