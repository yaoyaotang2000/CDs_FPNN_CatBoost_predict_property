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angy\Jupyter\new-manuscript\data\"/>
    </mc:Choice>
  </mc:AlternateContent>
  <xr:revisionPtr revIDLastSave="0" documentId="13_ncr:1_{08D0AA48-EE01-494F-9EC2-8B203D13ED5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Sheet1!$J$1:$J$228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" i="1"/>
  <c r="M228" i="1"/>
  <c r="N225" i="1"/>
  <c r="M224" i="1"/>
  <c r="M222" i="1"/>
  <c r="N223" i="1"/>
  <c r="M221" i="1"/>
  <c r="N227" i="1"/>
  <c r="M220" i="1"/>
  <c r="N219" i="1"/>
  <c r="M218" i="1"/>
  <c r="M217" i="1"/>
  <c r="M216" i="1"/>
  <c r="N215" i="1"/>
  <c r="N212" i="1"/>
  <c r="N211" i="1"/>
  <c r="M209" i="1"/>
  <c r="M210" i="1"/>
  <c r="N214" i="1"/>
  <c r="N213" i="1"/>
  <c r="N217" i="1"/>
  <c r="M214" i="1"/>
  <c r="M213" i="1"/>
  <c r="M212" i="1"/>
  <c r="M211" i="1"/>
  <c r="N210" i="1"/>
  <c r="N209" i="1"/>
  <c r="M206" i="1"/>
  <c r="N226" i="1"/>
  <c r="M208" i="1"/>
  <c r="M207" i="1"/>
  <c r="M205" i="1"/>
  <c r="N204" i="1"/>
  <c r="N228" i="1"/>
  <c r="M227" i="1"/>
  <c r="M226" i="1"/>
  <c r="M225" i="1"/>
  <c r="N224" i="1"/>
  <c r="M223" i="1"/>
  <c r="N222" i="1"/>
  <c r="N221" i="1"/>
  <c r="N220" i="1"/>
  <c r="M219" i="1"/>
  <c r="N218" i="1"/>
  <c r="N216" i="1"/>
  <c r="M215" i="1"/>
  <c r="N208" i="1"/>
  <c r="N207" i="1"/>
  <c r="N206" i="1"/>
  <c r="N205" i="1"/>
  <c r="M204" i="1"/>
</calcChain>
</file>

<file path=xl/sharedStrings.xml><?xml version="1.0" encoding="utf-8"?>
<sst xmlns="http://schemas.openxmlformats.org/spreadsheetml/2006/main" count="699" uniqueCount="73">
  <si>
    <t>precursor_1</t>
  </si>
  <si>
    <t>Mass1(g)</t>
  </si>
  <si>
    <t>precursor_2</t>
  </si>
  <si>
    <t>Mass2(g)</t>
  </si>
  <si>
    <t>reagent_1</t>
  </si>
  <si>
    <t>reagent_1_mL</t>
  </si>
  <si>
    <t>temperature</t>
  </si>
  <si>
    <t>time_h</t>
  </si>
  <si>
    <t>Ex_max_nm</t>
  </si>
  <si>
    <t>Em_max_nm</t>
  </si>
  <si>
    <t>QY_%</t>
  </si>
  <si>
    <t>pre_1_mmol</t>
  </si>
  <si>
    <t>pre_2_mmol</t>
  </si>
  <si>
    <t>DL-Methionine</t>
  </si>
  <si>
    <t>Terephthalic acid</t>
  </si>
  <si>
    <t>water</t>
  </si>
  <si>
    <t>Glucose</t>
  </si>
  <si>
    <t>L-Tyrosine</t>
  </si>
  <si>
    <t>ethanol</t>
  </si>
  <si>
    <t>Urea</t>
  </si>
  <si>
    <t>o-Phenylenediamine</t>
  </si>
  <si>
    <t>p-Aminobenzenesulfonic acid</t>
  </si>
  <si>
    <t>p-Phenylenediamine</t>
  </si>
  <si>
    <t>2-Aminoterephthalic acid</t>
  </si>
  <si>
    <t>L-Serine</t>
  </si>
  <si>
    <t>Melamine</t>
  </si>
  <si>
    <t>Salicylic acid</t>
  </si>
  <si>
    <t>Thiourea</t>
  </si>
  <si>
    <t>Citric acid</t>
  </si>
  <si>
    <t>p-Aminophenol</t>
  </si>
  <si>
    <t>Ethanolamine</t>
  </si>
  <si>
    <t>Dopamine hydrochloride</t>
  </si>
  <si>
    <t>Tartaric acid</t>
  </si>
  <si>
    <t>sulfuric acid</t>
  </si>
  <si>
    <t>L-Leucine</t>
  </si>
  <si>
    <t>dimethylformamide</t>
  </si>
  <si>
    <t>L-Threonine</t>
  </si>
  <si>
    <t>Neutral Red</t>
  </si>
  <si>
    <t>m-Phenylenediamine</t>
  </si>
  <si>
    <t>phosphoric acid</t>
  </si>
  <si>
    <t>L-Lysine</t>
  </si>
  <si>
    <t>L-Cysteine</t>
  </si>
  <si>
    <t>L-Cystine</t>
  </si>
  <si>
    <t>L-Phenylalanine</t>
  </si>
  <si>
    <t>Glycine</t>
  </si>
  <si>
    <t>Polyaniline</t>
  </si>
  <si>
    <t/>
  </si>
  <si>
    <t>Stokes_shift_nm</t>
    <phoneticPr fontId="3" type="noConversion"/>
  </si>
  <si>
    <t>p-Aminophenol</t>
    <phoneticPr fontId="3" type="noConversion"/>
  </si>
  <si>
    <t>success</t>
    <phoneticPr fontId="3" type="noConversion"/>
  </si>
  <si>
    <t>Melamine</t>
    <phoneticPr fontId="3" type="noConversion"/>
  </si>
  <si>
    <t>m-Phenylenediamine</t>
    <phoneticPr fontId="3" type="noConversion"/>
  </si>
  <si>
    <t>2-Aminoterephthalic acid</t>
    <phoneticPr fontId="3" type="noConversion"/>
  </si>
  <si>
    <t>L-Cystine</t>
    <phoneticPr fontId="3" type="noConversion"/>
  </si>
  <si>
    <t>L-Lysine</t>
    <phoneticPr fontId="3" type="noConversion"/>
  </si>
  <si>
    <t>p-Aminobenzenesulfonic acid</t>
    <phoneticPr fontId="3" type="noConversion"/>
  </si>
  <si>
    <t>Terephthalic acid</t>
    <phoneticPr fontId="3" type="noConversion"/>
  </si>
  <si>
    <t>DL-Methionine</t>
    <phoneticPr fontId="3" type="noConversion"/>
  </si>
  <si>
    <t>L-Cysteine</t>
    <phoneticPr fontId="3" type="noConversion"/>
  </si>
  <si>
    <t>L-Serine</t>
    <phoneticPr fontId="3" type="noConversion"/>
  </si>
  <si>
    <t>Salicylic acid</t>
    <phoneticPr fontId="3" type="noConversion"/>
  </si>
  <si>
    <t>p-Phenylenediamine</t>
    <phoneticPr fontId="3" type="noConversion"/>
  </si>
  <si>
    <t>L-Threonine</t>
    <phoneticPr fontId="3" type="noConversion"/>
  </si>
  <si>
    <t>Glucose</t>
    <phoneticPr fontId="3" type="noConversion"/>
  </si>
  <si>
    <t>o-Phenylenediamine</t>
    <phoneticPr fontId="3" type="noConversion"/>
  </si>
  <si>
    <t>Citric acid</t>
    <phoneticPr fontId="3" type="noConversion"/>
  </si>
  <si>
    <t>Dopamine hydrochloride</t>
    <phoneticPr fontId="3" type="noConversion"/>
  </si>
  <si>
    <t>L-Leucine</t>
    <phoneticPr fontId="3" type="noConversion"/>
  </si>
  <si>
    <t>p-Aminophenol</t>
    <phoneticPr fontId="3" type="noConversion"/>
  </si>
  <si>
    <t>Tartaric acid</t>
    <phoneticPr fontId="3" type="noConversion"/>
  </si>
  <si>
    <t>o-Phenylenediamine</t>
    <phoneticPr fontId="3" type="noConversion"/>
  </si>
  <si>
    <t>Polyaniline</t>
    <phoneticPr fontId="3" type="noConversion"/>
  </si>
  <si>
    <t>L-Cysteine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</si>
</sst>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5" fillId="0" borderId="0" xfId="0" applyFont="1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8"/>
  <sheetViews>
    <sheetView tabSelected="1" topLeftCell="A205" workbookViewId="0">
      <selection activeCell="O158" sqref="O158"/>
    </sheetView>
  </sheetViews>
  <sheetFormatPr defaultColWidth="9" defaultRowHeight="14" x14ac:dyDescent="0.25"/>
  <cols>
    <col min="1" max="1" width="20.26953125" customWidth="1"/>
    <col min="2" max="2" width="16" customWidth="1"/>
    <col min="3" max="3" width="17.08984375" customWidth="1"/>
    <col min="4" max="4" width="8.54296875" customWidth="1"/>
    <col min="5" max="5" width="19.6328125" customWidth="1"/>
    <col min="6" max="6" width="12.81640625" customWidth="1"/>
    <col min="7" max="7" width="10.1796875" customWidth="1"/>
    <col min="8" max="8" width="12.7265625" customWidth="1"/>
    <col min="9" max="9" width="15.81640625" customWidth="1"/>
    <col min="10" max="10" width="20" customWidth="1"/>
    <col min="11" max="11" width="30.7265625" customWidth="1"/>
    <col min="12" max="12" width="7.26953125" customWidth="1"/>
    <col min="13" max="13" width="7.90625" hidden="1" customWidth="1"/>
    <col min="14" max="14" width="11.36328125" hidden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4" t="s">
        <v>47</v>
      </c>
      <c r="L1" s="2" t="s">
        <v>10</v>
      </c>
      <c r="M1" s="3" t="s">
        <v>11</v>
      </c>
      <c r="N1" s="3" t="s">
        <v>12</v>
      </c>
      <c r="O1" s="4" t="s">
        <v>49</v>
      </c>
    </row>
    <row r="2" spans="1:15" x14ac:dyDescent="0.25">
      <c r="A2" t="s">
        <v>13</v>
      </c>
      <c r="B2">
        <v>0.2</v>
      </c>
      <c r="C2" t="s">
        <v>14</v>
      </c>
      <c r="D2">
        <v>0.2</v>
      </c>
      <c r="E2" t="s">
        <v>15</v>
      </c>
      <c r="F2">
        <v>15</v>
      </c>
      <c r="G2">
        <v>180</v>
      </c>
      <c r="H2">
        <v>4</v>
      </c>
      <c r="I2">
        <v>310</v>
      </c>
      <c r="J2">
        <v>425</v>
      </c>
      <c r="K2">
        <f>J2-I2</f>
        <v>115</v>
      </c>
      <c r="L2">
        <v>1.81</v>
      </c>
      <c r="M2">
        <v>1.34039273507138</v>
      </c>
      <c r="N2">
        <v>1.20387648227292</v>
      </c>
      <c r="O2">
        <v>0</v>
      </c>
    </row>
    <row r="3" spans="1:15" x14ac:dyDescent="0.25">
      <c r="A3" t="s">
        <v>16</v>
      </c>
      <c r="B3">
        <v>1</v>
      </c>
      <c r="C3" t="s">
        <v>17</v>
      </c>
      <c r="D3">
        <v>0.8</v>
      </c>
      <c r="E3" t="s">
        <v>18</v>
      </c>
      <c r="F3">
        <v>15</v>
      </c>
      <c r="G3">
        <v>200</v>
      </c>
      <c r="H3">
        <v>4</v>
      </c>
      <c r="I3">
        <v>340</v>
      </c>
      <c r="J3">
        <v>430</v>
      </c>
      <c r="K3">
        <f t="shared" ref="K3:K66" si="0">J3-I3</f>
        <v>90</v>
      </c>
      <c r="L3">
        <v>3.48</v>
      </c>
      <c r="M3">
        <v>5.5506216696269997</v>
      </c>
      <c r="N3">
        <v>4.4152547050058004</v>
      </c>
      <c r="O3">
        <v>1</v>
      </c>
    </row>
    <row r="4" spans="1:15" x14ac:dyDescent="0.25">
      <c r="A4" t="s">
        <v>19</v>
      </c>
      <c r="B4">
        <v>0.2</v>
      </c>
      <c r="C4" t="s">
        <v>20</v>
      </c>
      <c r="D4">
        <v>0.6</v>
      </c>
      <c r="E4" t="s">
        <v>15</v>
      </c>
      <c r="F4">
        <v>15</v>
      </c>
      <c r="G4">
        <v>180</v>
      </c>
      <c r="H4">
        <v>8</v>
      </c>
      <c r="I4">
        <v>410</v>
      </c>
      <c r="J4">
        <v>580</v>
      </c>
      <c r="K4">
        <f t="shared" si="0"/>
        <v>170</v>
      </c>
      <c r="L4">
        <v>2.74</v>
      </c>
      <c r="M4">
        <v>3.3302251232183302</v>
      </c>
      <c r="N4">
        <v>5.5483632328463104</v>
      </c>
      <c r="O4">
        <v>0</v>
      </c>
    </row>
    <row r="5" spans="1:15" x14ac:dyDescent="0.25">
      <c r="A5" t="s">
        <v>21</v>
      </c>
      <c r="B5">
        <v>0.2</v>
      </c>
      <c r="C5" t="s">
        <v>22</v>
      </c>
      <c r="D5">
        <v>0.2</v>
      </c>
      <c r="E5" t="s">
        <v>18</v>
      </c>
      <c r="F5">
        <v>15</v>
      </c>
      <c r="G5">
        <v>160</v>
      </c>
      <c r="H5">
        <v>6</v>
      </c>
      <c r="I5">
        <v>300</v>
      </c>
      <c r="J5">
        <v>345</v>
      </c>
      <c r="K5">
        <f t="shared" si="0"/>
        <v>45</v>
      </c>
      <c r="L5">
        <v>2.84</v>
      </c>
      <c r="M5">
        <v>1.15480108551302</v>
      </c>
      <c r="N5">
        <v>1.8494544109487701</v>
      </c>
      <c r="O5">
        <v>0</v>
      </c>
    </row>
    <row r="6" spans="1:15" x14ac:dyDescent="0.25">
      <c r="A6" t="s">
        <v>23</v>
      </c>
      <c r="B6">
        <v>0.8</v>
      </c>
      <c r="C6" t="s">
        <v>24</v>
      </c>
      <c r="D6">
        <v>1</v>
      </c>
      <c r="E6" t="s">
        <v>15</v>
      </c>
      <c r="F6">
        <v>15</v>
      </c>
      <c r="G6">
        <v>160</v>
      </c>
      <c r="H6">
        <v>6</v>
      </c>
      <c r="I6">
        <v>290</v>
      </c>
      <c r="J6">
        <v>420</v>
      </c>
      <c r="K6">
        <f t="shared" si="0"/>
        <v>130</v>
      </c>
      <c r="L6">
        <v>27.16</v>
      </c>
      <c r="M6">
        <v>4.4162296439414899</v>
      </c>
      <c r="N6">
        <v>9.5156532495955801</v>
      </c>
      <c r="O6">
        <v>1</v>
      </c>
    </row>
    <row r="7" spans="1:15" x14ac:dyDescent="0.25">
      <c r="A7" t="s">
        <v>25</v>
      </c>
      <c r="B7">
        <v>0.2</v>
      </c>
      <c r="C7" t="s">
        <v>26</v>
      </c>
      <c r="D7">
        <v>0.2</v>
      </c>
      <c r="E7" t="s">
        <v>18</v>
      </c>
      <c r="F7">
        <v>15</v>
      </c>
      <c r="G7">
        <v>180</v>
      </c>
      <c r="H7">
        <v>8</v>
      </c>
      <c r="I7">
        <v>330</v>
      </c>
      <c r="J7">
        <v>410</v>
      </c>
      <c r="K7">
        <f t="shared" si="0"/>
        <v>80</v>
      </c>
      <c r="L7">
        <v>18.989999999999998</v>
      </c>
      <c r="M7">
        <v>1.58579130986362</v>
      </c>
      <c r="N7">
        <v>1.44801621778164</v>
      </c>
      <c r="O7">
        <v>1</v>
      </c>
    </row>
    <row r="8" spans="1:15" x14ac:dyDescent="0.25">
      <c r="A8" t="s">
        <v>19</v>
      </c>
      <c r="B8">
        <v>0.2</v>
      </c>
      <c r="C8" t="s">
        <v>27</v>
      </c>
      <c r="D8">
        <v>0.6</v>
      </c>
      <c r="E8" t="s">
        <v>15</v>
      </c>
      <c r="F8">
        <v>15</v>
      </c>
      <c r="G8">
        <v>200</v>
      </c>
      <c r="H8">
        <v>4</v>
      </c>
      <c r="I8">
        <v>300</v>
      </c>
      <c r="J8">
        <v>350</v>
      </c>
      <c r="K8">
        <f t="shared" si="0"/>
        <v>50</v>
      </c>
      <c r="L8">
        <v>2.27</v>
      </c>
      <c r="M8">
        <v>3.3302251232183302</v>
      </c>
      <c r="N8">
        <v>7.8822911192853402</v>
      </c>
      <c r="O8">
        <v>0</v>
      </c>
    </row>
    <row r="9" spans="1:15" x14ac:dyDescent="0.25">
      <c r="A9" t="s">
        <v>17</v>
      </c>
      <c r="B9">
        <v>0.8</v>
      </c>
      <c r="C9" t="s">
        <v>28</v>
      </c>
      <c r="D9">
        <v>0.2</v>
      </c>
      <c r="E9" t="s">
        <v>15</v>
      </c>
      <c r="F9">
        <v>15</v>
      </c>
      <c r="G9">
        <v>200</v>
      </c>
      <c r="H9">
        <v>6</v>
      </c>
      <c r="I9">
        <v>340</v>
      </c>
      <c r="J9">
        <v>405</v>
      </c>
      <c r="K9">
        <f t="shared" si="0"/>
        <v>65</v>
      </c>
      <c r="L9">
        <v>5.63</v>
      </c>
      <c r="M9">
        <v>4.4152547050058004</v>
      </c>
      <c r="N9">
        <v>1.0410160316468899</v>
      </c>
      <c r="O9">
        <v>1</v>
      </c>
    </row>
    <row r="10" spans="1:15" x14ac:dyDescent="0.25">
      <c r="A10" s="5" t="s">
        <v>48</v>
      </c>
      <c r="B10">
        <v>1</v>
      </c>
      <c r="C10" t="s">
        <v>30</v>
      </c>
      <c r="D10">
        <v>1</v>
      </c>
      <c r="E10" t="s">
        <v>15</v>
      </c>
      <c r="F10">
        <v>15</v>
      </c>
      <c r="G10">
        <v>220</v>
      </c>
      <c r="H10">
        <v>8</v>
      </c>
      <c r="I10">
        <v>400</v>
      </c>
      <c r="J10">
        <v>525</v>
      </c>
      <c r="K10">
        <f t="shared" si="0"/>
        <v>125</v>
      </c>
      <c r="L10">
        <v>0.15</v>
      </c>
      <c r="M10">
        <v>9.1633831210482892</v>
      </c>
      <c r="N10">
        <v>16.3719711853307</v>
      </c>
      <c r="O10">
        <v>0</v>
      </c>
    </row>
    <row r="11" spans="1:15" x14ac:dyDescent="0.25">
      <c r="A11" t="s">
        <v>31</v>
      </c>
      <c r="B11">
        <v>0.4</v>
      </c>
      <c r="C11" t="s">
        <v>32</v>
      </c>
      <c r="D11">
        <v>0.8</v>
      </c>
      <c r="E11" t="s">
        <v>33</v>
      </c>
      <c r="F11">
        <v>15</v>
      </c>
      <c r="G11">
        <v>200</v>
      </c>
      <c r="H11">
        <v>6</v>
      </c>
      <c r="I11">
        <v>320</v>
      </c>
      <c r="J11">
        <v>495</v>
      </c>
      <c r="K11">
        <f t="shared" si="0"/>
        <v>175</v>
      </c>
      <c r="L11">
        <v>0.65</v>
      </c>
      <c r="M11">
        <v>2.1092596498629002</v>
      </c>
      <c r="N11">
        <v>5.3301352521820196</v>
      </c>
      <c r="O11">
        <v>0</v>
      </c>
    </row>
    <row r="12" spans="1:15" x14ac:dyDescent="0.25">
      <c r="A12" t="s">
        <v>34</v>
      </c>
      <c r="B12">
        <v>0.8</v>
      </c>
      <c r="C12" t="s">
        <v>17</v>
      </c>
      <c r="D12">
        <v>0.2</v>
      </c>
      <c r="E12" t="s">
        <v>35</v>
      </c>
      <c r="F12">
        <v>15</v>
      </c>
      <c r="G12">
        <v>160</v>
      </c>
      <c r="H12">
        <v>4</v>
      </c>
      <c r="I12">
        <v>310</v>
      </c>
      <c r="J12">
        <v>405</v>
      </c>
      <c r="K12">
        <f t="shared" si="0"/>
        <v>95</v>
      </c>
      <c r="L12">
        <v>1.52</v>
      </c>
      <c r="M12">
        <v>6.0989555538614004</v>
      </c>
      <c r="N12">
        <v>1.1038136762514501</v>
      </c>
      <c r="O12">
        <v>0</v>
      </c>
    </row>
    <row r="13" spans="1:15" x14ac:dyDescent="0.25">
      <c r="A13" t="s">
        <v>36</v>
      </c>
      <c r="B13">
        <v>0.6</v>
      </c>
      <c r="C13" t="s">
        <v>21</v>
      </c>
      <c r="D13">
        <v>1</v>
      </c>
      <c r="E13" t="s">
        <v>18</v>
      </c>
      <c r="F13">
        <v>15</v>
      </c>
      <c r="G13">
        <v>220</v>
      </c>
      <c r="H13">
        <v>8</v>
      </c>
      <c r="I13">
        <v>360</v>
      </c>
      <c r="J13">
        <v>495</v>
      </c>
      <c r="K13">
        <f t="shared" si="0"/>
        <v>135</v>
      </c>
      <c r="L13">
        <v>8.3800000000000008</v>
      </c>
      <c r="M13">
        <v>5.0369375419744804</v>
      </c>
      <c r="N13">
        <v>5.7740054275650996</v>
      </c>
      <c r="O13">
        <v>1</v>
      </c>
    </row>
    <row r="14" spans="1:15" x14ac:dyDescent="0.25">
      <c r="A14" t="s">
        <v>37</v>
      </c>
      <c r="B14">
        <v>0.8</v>
      </c>
      <c r="C14" t="s">
        <v>29</v>
      </c>
      <c r="D14">
        <v>0.4</v>
      </c>
      <c r="E14" t="s">
        <v>35</v>
      </c>
      <c r="F14">
        <v>15</v>
      </c>
      <c r="G14">
        <v>220</v>
      </c>
      <c r="H14">
        <v>4</v>
      </c>
      <c r="I14">
        <v>460</v>
      </c>
      <c r="J14">
        <v>595</v>
      </c>
      <c r="K14">
        <f t="shared" si="0"/>
        <v>135</v>
      </c>
      <c r="L14">
        <v>14.69</v>
      </c>
      <c r="M14">
        <v>2.7703708834020202</v>
      </c>
      <c r="N14">
        <v>3.6653532484193199</v>
      </c>
      <c r="O14">
        <v>1</v>
      </c>
    </row>
    <row r="15" spans="1:15" x14ac:dyDescent="0.25">
      <c r="A15" t="s">
        <v>38</v>
      </c>
      <c r="B15">
        <v>0.2</v>
      </c>
      <c r="C15" t="s">
        <v>16</v>
      </c>
      <c r="D15">
        <v>0.8</v>
      </c>
      <c r="E15" t="s">
        <v>39</v>
      </c>
      <c r="F15">
        <v>15</v>
      </c>
      <c r="G15">
        <v>220</v>
      </c>
      <c r="H15">
        <v>6</v>
      </c>
      <c r="I15">
        <v>430</v>
      </c>
      <c r="J15">
        <v>520</v>
      </c>
      <c r="K15">
        <f t="shared" si="0"/>
        <v>90</v>
      </c>
      <c r="L15">
        <v>20.12</v>
      </c>
      <c r="M15">
        <v>1.8494544109487701</v>
      </c>
      <c r="N15">
        <v>4.4404973357016004</v>
      </c>
      <c r="O15">
        <v>1</v>
      </c>
    </row>
    <row r="16" spans="1:15" x14ac:dyDescent="0.25">
      <c r="A16" t="s">
        <v>23</v>
      </c>
      <c r="B16">
        <v>0.4</v>
      </c>
      <c r="C16" t="s">
        <v>23</v>
      </c>
      <c r="D16">
        <v>0.2</v>
      </c>
      <c r="E16" t="s">
        <v>18</v>
      </c>
      <c r="F16">
        <v>15</v>
      </c>
      <c r="G16">
        <v>220</v>
      </c>
      <c r="H16">
        <v>4</v>
      </c>
      <c r="I16">
        <v>370</v>
      </c>
      <c r="J16">
        <v>440</v>
      </c>
      <c r="K16">
        <f t="shared" si="0"/>
        <v>70</v>
      </c>
      <c r="L16">
        <v>54.75</v>
      </c>
      <c r="M16">
        <v>2.20811482197074</v>
      </c>
      <c r="N16">
        <v>1.10405741098537</v>
      </c>
      <c r="O16">
        <v>1</v>
      </c>
    </row>
    <row r="17" spans="1:15" x14ac:dyDescent="0.25">
      <c r="A17" t="s">
        <v>40</v>
      </c>
      <c r="B17">
        <v>0.2</v>
      </c>
      <c r="C17" t="s">
        <v>26</v>
      </c>
      <c r="D17">
        <v>0.8</v>
      </c>
      <c r="E17" t="s">
        <v>15</v>
      </c>
      <c r="F17">
        <v>15</v>
      </c>
      <c r="G17">
        <v>200</v>
      </c>
      <c r="H17">
        <v>4</v>
      </c>
      <c r="I17">
        <v>320</v>
      </c>
      <c r="J17">
        <v>410</v>
      </c>
      <c r="K17">
        <f t="shared" si="0"/>
        <v>90</v>
      </c>
      <c r="L17">
        <v>21.53</v>
      </c>
      <c r="M17">
        <v>1.36808263219098</v>
      </c>
      <c r="N17">
        <v>5.7920648711265601</v>
      </c>
      <c r="O17">
        <v>1</v>
      </c>
    </row>
    <row r="18" spans="1:15" x14ac:dyDescent="0.25">
      <c r="A18" t="s">
        <v>30</v>
      </c>
      <c r="B18">
        <v>0.2</v>
      </c>
      <c r="C18" t="s">
        <v>13</v>
      </c>
      <c r="D18">
        <v>0.8</v>
      </c>
      <c r="E18" t="s">
        <v>15</v>
      </c>
      <c r="F18">
        <v>15</v>
      </c>
      <c r="G18">
        <v>180</v>
      </c>
      <c r="H18">
        <v>6</v>
      </c>
      <c r="I18">
        <v>340</v>
      </c>
      <c r="J18">
        <v>430</v>
      </c>
      <c r="K18">
        <f t="shared" si="0"/>
        <v>90</v>
      </c>
      <c r="L18">
        <v>2.95</v>
      </c>
      <c r="M18">
        <v>3.2743942370661401</v>
      </c>
      <c r="N18">
        <v>5.3615709402854996</v>
      </c>
      <c r="O18">
        <v>0</v>
      </c>
    </row>
    <row r="19" spans="1:15" x14ac:dyDescent="0.25">
      <c r="A19" t="s">
        <v>37</v>
      </c>
      <c r="B19">
        <v>0.6</v>
      </c>
      <c r="C19" t="s">
        <v>29</v>
      </c>
      <c r="D19">
        <v>0.2</v>
      </c>
      <c r="E19" t="s">
        <v>35</v>
      </c>
      <c r="F19">
        <v>15</v>
      </c>
      <c r="G19">
        <v>160</v>
      </c>
      <c r="H19">
        <v>4</v>
      </c>
      <c r="I19">
        <v>570</v>
      </c>
      <c r="J19">
        <v>620</v>
      </c>
      <c r="K19">
        <f t="shared" si="0"/>
        <v>50</v>
      </c>
      <c r="L19">
        <v>6.36</v>
      </c>
      <c r="M19">
        <v>2.0777781625515099</v>
      </c>
      <c r="N19">
        <v>1.8326766242096599</v>
      </c>
      <c r="O19">
        <v>1</v>
      </c>
    </row>
    <row r="20" spans="1:15" x14ac:dyDescent="0.25">
      <c r="A20" t="s">
        <v>14</v>
      </c>
      <c r="B20">
        <v>0.2</v>
      </c>
      <c r="C20" t="s">
        <v>40</v>
      </c>
      <c r="D20">
        <v>0.8</v>
      </c>
      <c r="E20" t="s">
        <v>33</v>
      </c>
      <c r="F20">
        <v>15</v>
      </c>
      <c r="G20">
        <v>180</v>
      </c>
      <c r="H20">
        <v>8</v>
      </c>
      <c r="I20">
        <v>310</v>
      </c>
      <c r="J20">
        <v>390</v>
      </c>
      <c r="K20">
        <f t="shared" si="0"/>
        <v>80</v>
      </c>
      <c r="L20">
        <v>3.22</v>
      </c>
      <c r="M20">
        <v>1.20387648227292</v>
      </c>
      <c r="N20">
        <v>5.4723305287639397</v>
      </c>
      <c r="O20">
        <v>0</v>
      </c>
    </row>
    <row r="21" spans="1:15" x14ac:dyDescent="0.25">
      <c r="A21" t="s">
        <v>26</v>
      </c>
      <c r="B21">
        <v>0.6</v>
      </c>
      <c r="C21" t="s">
        <v>41</v>
      </c>
      <c r="D21">
        <v>0.4</v>
      </c>
      <c r="E21" t="s">
        <v>18</v>
      </c>
      <c r="F21">
        <v>15</v>
      </c>
      <c r="G21">
        <v>220</v>
      </c>
      <c r="H21">
        <v>4</v>
      </c>
      <c r="I21">
        <v>300</v>
      </c>
      <c r="J21">
        <v>405</v>
      </c>
      <c r="K21">
        <f t="shared" si="0"/>
        <v>105</v>
      </c>
      <c r="L21">
        <v>4.9000000000000004</v>
      </c>
      <c r="M21">
        <v>4.3440486533449203</v>
      </c>
      <c r="N21">
        <v>3.30141961043249</v>
      </c>
      <c r="O21">
        <v>1</v>
      </c>
    </row>
    <row r="22" spans="1:15" x14ac:dyDescent="0.25">
      <c r="A22" t="s">
        <v>36</v>
      </c>
      <c r="B22">
        <v>0.2</v>
      </c>
      <c r="C22" t="s">
        <v>27</v>
      </c>
      <c r="D22">
        <v>0.8</v>
      </c>
      <c r="E22" t="s">
        <v>33</v>
      </c>
      <c r="F22">
        <v>15</v>
      </c>
      <c r="G22">
        <v>160</v>
      </c>
      <c r="H22">
        <v>4</v>
      </c>
      <c r="I22">
        <v>320</v>
      </c>
      <c r="J22">
        <v>360</v>
      </c>
      <c r="K22">
        <f t="shared" si="0"/>
        <v>40</v>
      </c>
      <c r="L22">
        <v>0.5</v>
      </c>
      <c r="M22">
        <v>1.67897918065816</v>
      </c>
      <c r="N22">
        <v>10.5097214923805</v>
      </c>
      <c r="O22">
        <v>0</v>
      </c>
    </row>
    <row r="23" spans="1:15" x14ac:dyDescent="0.25">
      <c r="A23" t="s">
        <v>38</v>
      </c>
      <c r="B23">
        <v>0.4</v>
      </c>
      <c r="C23" t="s">
        <v>26</v>
      </c>
      <c r="D23">
        <v>1</v>
      </c>
      <c r="E23" t="s">
        <v>18</v>
      </c>
      <c r="F23">
        <v>15</v>
      </c>
      <c r="G23">
        <v>160</v>
      </c>
      <c r="H23">
        <v>4</v>
      </c>
      <c r="I23">
        <v>460</v>
      </c>
      <c r="J23">
        <v>500</v>
      </c>
      <c r="K23">
        <f t="shared" si="0"/>
        <v>40</v>
      </c>
      <c r="L23">
        <v>46.7</v>
      </c>
      <c r="M23">
        <v>3.6989088218975401</v>
      </c>
      <c r="N23">
        <v>7.2400810889081901</v>
      </c>
      <c r="O23">
        <v>1</v>
      </c>
    </row>
    <row r="24" spans="1:15" x14ac:dyDescent="0.25">
      <c r="A24" t="s">
        <v>34</v>
      </c>
      <c r="B24">
        <v>0.2</v>
      </c>
      <c r="C24" t="s">
        <v>40</v>
      </c>
      <c r="D24">
        <v>0.6</v>
      </c>
      <c r="E24" t="s">
        <v>18</v>
      </c>
      <c r="F24">
        <v>15</v>
      </c>
      <c r="G24">
        <v>180</v>
      </c>
      <c r="H24">
        <v>4</v>
      </c>
      <c r="I24">
        <v>360</v>
      </c>
      <c r="J24">
        <v>470</v>
      </c>
      <c r="K24">
        <f t="shared" si="0"/>
        <v>110</v>
      </c>
      <c r="L24">
        <v>7.6</v>
      </c>
      <c r="M24">
        <v>1.5247388884653501</v>
      </c>
      <c r="N24">
        <v>4.1042478965729501</v>
      </c>
      <c r="O24">
        <v>1</v>
      </c>
    </row>
    <row r="25" spans="1:15" x14ac:dyDescent="0.25">
      <c r="A25" t="s">
        <v>29</v>
      </c>
      <c r="B25">
        <v>0.8</v>
      </c>
      <c r="C25" t="s">
        <v>17</v>
      </c>
      <c r="D25">
        <v>0.6</v>
      </c>
      <c r="E25" t="s">
        <v>18</v>
      </c>
      <c r="F25">
        <v>15</v>
      </c>
      <c r="G25">
        <v>220</v>
      </c>
      <c r="H25">
        <v>4</v>
      </c>
      <c r="I25">
        <v>330</v>
      </c>
      <c r="J25">
        <v>370</v>
      </c>
      <c r="K25">
        <f t="shared" si="0"/>
        <v>40</v>
      </c>
      <c r="L25">
        <v>6.35</v>
      </c>
      <c r="M25">
        <v>7.33070649683863</v>
      </c>
      <c r="N25">
        <v>3.3114410287543499</v>
      </c>
      <c r="O25">
        <v>1</v>
      </c>
    </row>
    <row r="26" spans="1:15" x14ac:dyDescent="0.25">
      <c r="A26" t="s">
        <v>30</v>
      </c>
      <c r="B26">
        <v>0.4</v>
      </c>
      <c r="C26" t="s">
        <v>25</v>
      </c>
      <c r="D26">
        <v>0.2</v>
      </c>
      <c r="E26" t="s">
        <v>39</v>
      </c>
      <c r="F26">
        <v>15</v>
      </c>
      <c r="G26">
        <v>180</v>
      </c>
      <c r="H26">
        <v>8</v>
      </c>
      <c r="I26">
        <v>340</v>
      </c>
      <c r="J26">
        <v>430</v>
      </c>
      <c r="K26">
        <f t="shared" si="0"/>
        <v>90</v>
      </c>
      <c r="L26">
        <v>0.85</v>
      </c>
      <c r="M26">
        <v>6.5487884741322899</v>
      </c>
      <c r="N26">
        <v>1.58579130986362</v>
      </c>
      <c r="O26">
        <v>0</v>
      </c>
    </row>
    <row r="27" spans="1:15" x14ac:dyDescent="0.25">
      <c r="A27" t="s">
        <v>30</v>
      </c>
      <c r="B27">
        <v>0.6</v>
      </c>
      <c r="C27" t="s">
        <v>26</v>
      </c>
      <c r="D27">
        <v>1</v>
      </c>
      <c r="E27" t="s">
        <v>15</v>
      </c>
      <c r="F27">
        <v>15</v>
      </c>
      <c r="G27">
        <v>180</v>
      </c>
      <c r="H27">
        <v>6</v>
      </c>
      <c r="I27">
        <v>340</v>
      </c>
      <c r="J27">
        <v>405</v>
      </c>
      <c r="K27">
        <f t="shared" si="0"/>
        <v>65</v>
      </c>
      <c r="L27">
        <v>16.84</v>
      </c>
      <c r="M27">
        <v>9.8231827111984291</v>
      </c>
      <c r="N27">
        <v>7.2400810889081901</v>
      </c>
      <c r="O27">
        <v>1</v>
      </c>
    </row>
    <row r="28" spans="1:15" x14ac:dyDescent="0.25">
      <c r="A28" t="s">
        <v>42</v>
      </c>
      <c r="B28">
        <v>0.8</v>
      </c>
      <c r="C28" t="s">
        <v>26</v>
      </c>
      <c r="D28">
        <v>0.6</v>
      </c>
      <c r="E28" t="s">
        <v>35</v>
      </c>
      <c r="F28">
        <v>15</v>
      </c>
      <c r="G28">
        <v>160</v>
      </c>
      <c r="H28">
        <v>8</v>
      </c>
      <c r="I28">
        <v>340</v>
      </c>
      <c r="J28">
        <v>400</v>
      </c>
      <c r="K28">
        <f t="shared" si="0"/>
        <v>60</v>
      </c>
      <c r="L28">
        <v>35.9</v>
      </c>
      <c r="M28">
        <v>3.3291718684977099</v>
      </c>
      <c r="N28">
        <v>4.3440486533449203</v>
      </c>
      <c r="O28">
        <v>1</v>
      </c>
    </row>
    <row r="29" spans="1:15" x14ac:dyDescent="0.25">
      <c r="A29" t="s">
        <v>23</v>
      </c>
      <c r="B29">
        <v>0.8</v>
      </c>
      <c r="C29" t="s">
        <v>36</v>
      </c>
      <c r="D29">
        <v>0.4</v>
      </c>
      <c r="E29" t="s">
        <v>39</v>
      </c>
      <c r="F29">
        <v>15</v>
      </c>
      <c r="G29">
        <v>220</v>
      </c>
      <c r="H29">
        <v>6</v>
      </c>
      <c r="I29">
        <v>430</v>
      </c>
      <c r="J29">
        <v>535</v>
      </c>
      <c r="K29">
        <f t="shared" si="0"/>
        <v>105</v>
      </c>
      <c r="L29">
        <v>12.49</v>
      </c>
      <c r="M29">
        <v>4.4162296439414899</v>
      </c>
      <c r="N29">
        <v>3.35795836131632</v>
      </c>
      <c r="O29">
        <v>1</v>
      </c>
    </row>
    <row r="30" spans="1:15" x14ac:dyDescent="0.25">
      <c r="A30" t="s">
        <v>25</v>
      </c>
      <c r="B30">
        <v>0.8</v>
      </c>
      <c r="C30" t="s">
        <v>23</v>
      </c>
      <c r="D30">
        <v>0.2</v>
      </c>
      <c r="E30" t="s">
        <v>39</v>
      </c>
      <c r="F30">
        <v>15</v>
      </c>
      <c r="G30">
        <v>200</v>
      </c>
      <c r="H30">
        <v>6</v>
      </c>
      <c r="I30">
        <v>390</v>
      </c>
      <c r="J30">
        <v>485</v>
      </c>
      <c r="K30">
        <f t="shared" si="0"/>
        <v>95</v>
      </c>
      <c r="L30">
        <v>6.12</v>
      </c>
      <c r="M30">
        <v>6.34316523945449</v>
      </c>
      <c r="N30">
        <v>1.10405741098537</v>
      </c>
      <c r="O30">
        <v>1</v>
      </c>
    </row>
    <row r="31" spans="1:15" x14ac:dyDescent="0.25">
      <c r="A31" t="s">
        <v>13</v>
      </c>
      <c r="B31">
        <v>0.8</v>
      </c>
      <c r="C31" t="s">
        <v>25</v>
      </c>
      <c r="D31">
        <v>0.2</v>
      </c>
      <c r="E31" t="s">
        <v>39</v>
      </c>
      <c r="F31">
        <v>15</v>
      </c>
      <c r="G31">
        <v>160</v>
      </c>
      <c r="H31">
        <v>4</v>
      </c>
      <c r="I31">
        <v>270</v>
      </c>
      <c r="J31">
        <v>300</v>
      </c>
      <c r="K31">
        <f t="shared" si="0"/>
        <v>30</v>
      </c>
      <c r="L31">
        <v>2.4900000000000002</v>
      </c>
      <c r="M31">
        <v>5.3615709402854996</v>
      </c>
      <c r="N31">
        <v>1.58579130986362</v>
      </c>
      <c r="O31">
        <v>0</v>
      </c>
    </row>
    <row r="32" spans="1:15" x14ac:dyDescent="0.25">
      <c r="A32" t="s">
        <v>26</v>
      </c>
      <c r="B32">
        <v>0.2</v>
      </c>
      <c r="C32" t="s">
        <v>20</v>
      </c>
      <c r="D32">
        <v>0.8</v>
      </c>
      <c r="E32" t="s">
        <v>18</v>
      </c>
      <c r="F32">
        <v>15</v>
      </c>
      <c r="G32">
        <v>200</v>
      </c>
      <c r="H32">
        <v>6</v>
      </c>
      <c r="I32">
        <v>430</v>
      </c>
      <c r="J32">
        <v>545</v>
      </c>
      <c r="K32">
        <f t="shared" si="0"/>
        <v>115</v>
      </c>
      <c r="L32">
        <v>13.53</v>
      </c>
      <c r="M32">
        <v>1.44801621778164</v>
      </c>
      <c r="N32">
        <v>7.3978176437950802</v>
      </c>
      <c r="O32">
        <v>1</v>
      </c>
    </row>
    <row r="33" spans="1:15" x14ac:dyDescent="0.25">
      <c r="A33" t="s">
        <v>16</v>
      </c>
      <c r="B33">
        <v>0.4</v>
      </c>
      <c r="C33" t="s">
        <v>30</v>
      </c>
      <c r="D33">
        <v>0.8</v>
      </c>
      <c r="E33" t="s">
        <v>18</v>
      </c>
      <c r="F33">
        <v>15</v>
      </c>
      <c r="G33">
        <v>180</v>
      </c>
      <c r="H33">
        <v>8</v>
      </c>
      <c r="I33">
        <v>340</v>
      </c>
      <c r="J33">
        <v>415</v>
      </c>
      <c r="K33">
        <f t="shared" si="0"/>
        <v>75</v>
      </c>
      <c r="L33">
        <v>6.66</v>
      </c>
      <c r="M33">
        <v>2.2202486678508002</v>
      </c>
      <c r="N33">
        <v>13.097576948264599</v>
      </c>
      <c r="O33">
        <v>1</v>
      </c>
    </row>
    <row r="34" spans="1:15" x14ac:dyDescent="0.25">
      <c r="A34" t="s">
        <v>26</v>
      </c>
      <c r="B34">
        <v>0.2</v>
      </c>
      <c r="C34" t="s">
        <v>23</v>
      </c>
      <c r="D34">
        <v>1</v>
      </c>
      <c r="E34" t="s">
        <v>35</v>
      </c>
      <c r="F34">
        <v>15</v>
      </c>
      <c r="G34">
        <v>200</v>
      </c>
      <c r="H34">
        <v>8</v>
      </c>
      <c r="I34">
        <v>400</v>
      </c>
      <c r="J34">
        <v>440</v>
      </c>
      <c r="K34">
        <f t="shared" si="0"/>
        <v>40</v>
      </c>
      <c r="L34">
        <v>40.35</v>
      </c>
      <c r="M34">
        <v>1.44801621778164</v>
      </c>
      <c r="N34">
        <v>5.5202870549268601</v>
      </c>
      <c r="O34">
        <v>1</v>
      </c>
    </row>
    <row r="35" spans="1:15" x14ac:dyDescent="0.25">
      <c r="A35" t="s">
        <v>24</v>
      </c>
      <c r="B35">
        <v>0.4</v>
      </c>
      <c r="C35" t="s">
        <v>43</v>
      </c>
      <c r="D35">
        <v>0.8</v>
      </c>
      <c r="E35" t="s">
        <v>33</v>
      </c>
      <c r="F35">
        <v>15</v>
      </c>
      <c r="G35">
        <v>200</v>
      </c>
      <c r="H35">
        <v>4</v>
      </c>
      <c r="I35">
        <v>310</v>
      </c>
      <c r="J35">
        <v>390</v>
      </c>
      <c r="K35">
        <f t="shared" si="0"/>
        <v>80</v>
      </c>
      <c r="L35">
        <v>6.03</v>
      </c>
      <c r="M35">
        <v>3.8062612998382299</v>
      </c>
      <c r="N35">
        <v>4.8429081663539</v>
      </c>
      <c r="O35">
        <v>1</v>
      </c>
    </row>
    <row r="36" spans="1:15" x14ac:dyDescent="0.25">
      <c r="A36" t="s">
        <v>27</v>
      </c>
      <c r="B36">
        <v>0.4</v>
      </c>
      <c r="C36" t="s">
        <v>44</v>
      </c>
      <c r="D36">
        <v>0.4</v>
      </c>
      <c r="E36" t="s">
        <v>35</v>
      </c>
      <c r="F36">
        <v>15</v>
      </c>
      <c r="G36">
        <v>220</v>
      </c>
      <c r="H36">
        <v>6</v>
      </c>
      <c r="I36">
        <v>370</v>
      </c>
      <c r="J36">
        <v>435</v>
      </c>
      <c r="K36">
        <f t="shared" si="0"/>
        <v>65</v>
      </c>
      <c r="L36">
        <v>10.029999999999999</v>
      </c>
      <c r="M36">
        <v>5.2548607461902304</v>
      </c>
      <c r="N36">
        <v>5.3283601971493297</v>
      </c>
      <c r="O36">
        <v>1</v>
      </c>
    </row>
    <row r="37" spans="1:15" x14ac:dyDescent="0.25">
      <c r="A37" t="s">
        <v>25</v>
      </c>
      <c r="B37">
        <v>0.8</v>
      </c>
      <c r="C37" t="s">
        <v>37</v>
      </c>
      <c r="D37">
        <v>0.6</v>
      </c>
      <c r="E37" t="s">
        <v>33</v>
      </c>
      <c r="F37">
        <v>15</v>
      </c>
      <c r="G37">
        <v>160</v>
      </c>
      <c r="H37">
        <v>8</v>
      </c>
      <c r="I37">
        <v>610</v>
      </c>
      <c r="J37">
        <v>655</v>
      </c>
      <c r="K37">
        <f t="shared" si="0"/>
        <v>45</v>
      </c>
      <c r="L37">
        <v>10.38</v>
      </c>
      <c r="M37">
        <v>6.34316523945449</v>
      </c>
      <c r="N37">
        <v>2.0777781625515099</v>
      </c>
      <c r="O37">
        <v>1</v>
      </c>
    </row>
    <row r="38" spans="1:15" x14ac:dyDescent="0.25">
      <c r="A38" t="s">
        <v>16</v>
      </c>
      <c r="B38">
        <v>1</v>
      </c>
      <c r="C38" t="s">
        <v>14</v>
      </c>
      <c r="D38">
        <v>0.6</v>
      </c>
      <c r="E38" t="s">
        <v>39</v>
      </c>
      <c r="F38">
        <v>15</v>
      </c>
      <c r="G38">
        <v>220</v>
      </c>
      <c r="H38">
        <v>4</v>
      </c>
      <c r="I38">
        <v>350</v>
      </c>
      <c r="J38">
        <v>475</v>
      </c>
      <c r="K38">
        <f t="shared" si="0"/>
        <v>125</v>
      </c>
      <c r="L38">
        <v>7.08</v>
      </c>
      <c r="M38">
        <v>5.5506216696269997</v>
      </c>
      <c r="N38">
        <v>3.61162944681876</v>
      </c>
      <c r="O38">
        <v>1</v>
      </c>
    </row>
    <row r="39" spans="1:15" x14ac:dyDescent="0.25">
      <c r="A39" t="s">
        <v>37</v>
      </c>
      <c r="B39">
        <v>1</v>
      </c>
      <c r="C39" t="s">
        <v>32</v>
      </c>
      <c r="D39">
        <v>0.2</v>
      </c>
      <c r="E39" t="s">
        <v>15</v>
      </c>
      <c r="F39">
        <v>15</v>
      </c>
      <c r="G39">
        <v>160</v>
      </c>
      <c r="H39">
        <v>4</v>
      </c>
      <c r="I39">
        <v>550</v>
      </c>
      <c r="J39">
        <v>645</v>
      </c>
      <c r="K39">
        <f t="shared" si="0"/>
        <v>95</v>
      </c>
      <c r="L39">
        <v>2.62</v>
      </c>
      <c r="M39">
        <v>3.4629636042525198</v>
      </c>
      <c r="N39">
        <v>1.33253381304551</v>
      </c>
      <c r="O39">
        <v>0</v>
      </c>
    </row>
    <row r="40" spans="1:15" x14ac:dyDescent="0.25">
      <c r="A40" t="s">
        <v>41</v>
      </c>
      <c r="B40">
        <v>0.4</v>
      </c>
      <c r="C40" t="s">
        <v>44</v>
      </c>
      <c r="D40">
        <v>0.2</v>
      </c>
      <c r="E40" t="s">
        <v>39</v>
      </c>
      <c r="F40">
        <v>15</v>
      </c>
      <c r="G40">
        <v>180</v>
      </c>
      <c r="H40">
        <v>4</v>
      </c>
      <c r="I40">
        <v>370</v>
      </c>
      <c r="J40">
        <v>445</v>
      </c>
      <c r="K40">
        <f t="shared" si="0"/>
        <v>75</v>
      </c>
      <c r="L40">
        <v>3.45</v>
      </c>
      <c r="M40">
        <v>3.30141961043249</v>
      </c>
      <c r="N40">
        <v>2.66418009857466</v>
      </c>
      <c r="O40">
        <v>0</v>
      </c>
    </row>
    <row r="41" spans="1:15" x14ac:dyDescent="0.25">
      <c r="A41" t="s">
        <v>45</v>
      </c>
      <c r="B41">
        <v>0.2</v>
      </c>
      <c r="C41" t="s">
        <v>40</v>
      </c>
      <c r="D41">
        <v>1</v>
      </c>
      <c r="E41" t="s">
        <v>35</v>
      </c>
      <c r="F41">
        <v>15</v>
      </c>
      <c r="G41">
        <v>180</v>
      </c>
      <c r="H41">
        <v>4</v>
      </c>
      <c r="I41">
        <v>370</v>
      </c>
      <c r="J41">
        <v>470</v>
      </c>
      <c r="K41">
        <f t="shared" si="0"/>
        <v>100</v>
      </c>
      <c r="L41">
        <v>1.39</v>
      </c>
      <c r="M41">
        <v>2.14799699280421</v>
      </c>
      <c r="N41">
        <v>6.8404131609549204</v>
      </c>
      <c r="O41">
        <v>0</v>
      </c>
    </row>
    <row r="42" spans="1:15" x14ac:dyDescent="0.25">
      <c r="A42" t="s">
        <v>25</v>
      </c>
      <c r="B42">
        <v>1</v>
      </c>
      <c r="C42" t="s">
        <v>37</v>
      </c>
      <c r="D42">
        <v>0.8</v>
      </c>
      <c r="E42" t="s">
        <v>18</v>
      </c>
      <c r="F42">
        <v>15</v>
      </c>
      <c r="G42">
        <v>220</v>
      </c>
      <c r="H42">
        <v>4</v>
      </c>
      <c r="I42">
        <v>450</v>
      </c>
      <c r="J42">
        <v>580</v>
      </c>
      <c r="K42">
        <f t="shared" si="0"/>
        <v>130</v>
      </c>
      <c r="L42">
        <v>17.579999999999998</v>
      </c>
      <c r="M42">
        <v>7.9289565493181096</v>
      </c>
      <c r="N42">
        <v>2.7703708834020202</v>
      </c>
      <c r="O42">
        <v>1</v>
      </c>
    </row>
    <row r="43" spans="1:15" x14ac:dyDescent="0.25">
      <c r="A43" t="s">
        <v>14</v>
      </c>
      <c r="B43">
        <v>0.6</v>
      </c>
      <c r="C43" t="s">
        <v>17</v>
      </c>
      <c r="D43">
        <v>0.4</v>
      </c>
      <c r="E43" t="s">
        <v>35</v>
      </c>
      <c r="F43">
        <v>15</v>
      </c>
      <c r="G43">
        <v>180</v>
      </c>
      <c r="H43">
        <v>6</v>
      </c>
      <c r="I43">
        <v>310</v>
      </c>
      <c r="J43">
        <v>375</v>
      </c>
      <c r="K43">
        <f t="shared" si="0"/>
        <v>65</v>
      </c>
      <c r="L43">
        <v>2.3199999999999998</v>
      </c>
      <c r="M43">
        <v>3.61162944681876</v>
      </c>
      <c r="N43">
        <v>2.2076273525029002</v>
      </c>
      <c r="O43">
        <v>0</v>
      </c>
    </row>
    <row r="44" spans="1:15" x14ac:dyDescent="0.25">
      <c r="A44" t="s">
        <v>21</v>
      </c>
      <c r="B44">
        <v>0.6</v>
      </c>
      <c r="C44" t="s">
        <v>24</v>
      </c>
      <c r="D44">
        <v>0.8</v>
      </c>
      <c r="E44" t="s">
        <v>18</v>
      </c>
      <c r="F44">
        <v>15</v>
      </c>
      <c r="G44">
        <v>220</v>
      </c>
      <c r="H44">
        <v>8</v>
      </c>
      <c r="I44">
        <v>360</v>
      </c>
      <c r="J44">
        <v>440</v>
      </c>
      <c r="K44">
        <f t="shared" si="0"/>
        <v>80</v>
      </c>
      <c r="L44">
        <v>15.13</v>
      </c>
      <c r="M44">
        <v>3.4644032565390601</v>
      </c>
      <c r="N44">
        <v>7.6125225996764696</v>
      </c>
      <c r="O44">
        <v>1</v>
      </c>
    </row>
    <row r="45" spans="1:15" x14ac:dyDescent="0.25">
      <c r="A45" t="s">
        <v>30</v>
      </c>
      <c r="B45">
        <v>0.2</v>
      </c>
      <c r="C45" t="s">
        <v>23</v>
      </c>
      <c r="D45">
        <v>0.8</v>
      </c>
      <c r="E45" t="s">
        <v>35</v>
      </c>
      <c r="F45">
        <v>15</v>
      </c>
      <c r="G45">
        <v>160</v>
      </c>
      <c r="H45">
        <v>6</v>
      </c>
      <c r="I45">
        <v>300</v>
      </c>
      <c r="J45">
        <v>435</v>
      </c>
      <c r="K45">
        <f t="shared" si="0"/>
        <v>135</v>
      </c>
      <c r="L45">
        <v>19.52</v>
      </c>
      <c r="M45">
        <v>3.2743942370661401</v>
      </c>
      <c r="N45">
        <v>4.4162296439414899</v>
      </c>
      <c r="O45">
        <v>1</v>
      </c>
    </row>
    <row r="46" spans="1:15" x14ac:dyDescent="0.25">
      <c r="A46" t="s">
        <v>30</v>
      </c>
      <c r="B46">
        <v>0.2</v>
      </c>
      <c r="C46" t="s">
        <v>13</v>
      </c>
      <c r="D46">
        <v>0.6</v>
      </c>
      <c r="E46" t="s">
        <v>33</v>
      </c>
      <c r="F46">
        <v>15</v>
      </c>
      <c r="G46">
        <v>220</v>
      </c>
      <c r="H46">
        <v>8</v>
      </c>
      <c r="I46">
        <v>370</v>
      </c>
      <c r="J46">
        <v>435</v>
      </c>
      <c r="K46">
        <f t="shared" si="0"/>
        <v>65</v>
      </c>
      <c r="L46">
        <v>5.13</v>
      </c>
      <c r="M46">
        <v>3.2743942370661401</v>
      </c>
      <c r="N46">
        <v>4.0211782052141301</v>
      </c>
      <c r="O46">
        <v>1</v>
      </c>
    </row>
    <row r="47" spans="1:15" x14ac:dyDescent="0.25">
      <c r="A47" t="s">
        <v>20</v>
      </c>
      <c r="B47">
        <v>0.4</v>
      </c>
      <c r="C47" t="s">
        <v>14</v>
      </c>
      <c r="D47">
        <v>0.2</v>
      </c>
      <c r="E47" t="s">
        <v>18</v>
      </c>
      <c r="F47">
        <v>15</v>
      </c>
      <c r="G47">
        <v>160</v>
      </c>
      <c r="H47">
        <v>6</v>
      </c>
      <c r="I47">
        <v>430</v>
      </c>
      <c r="J47">
        <v>540</v>
      </c>
      <c r="K47">
        <f t="shared" si="0"/>
        <v>110</v>
      </c>
      <c r="L47">
        <v>19.77</v>
      </c>
      <c r="M47">
        <v>3.6989088218975401</v>
      </c>
      <c r="N47">
        <v>1.20387648227292</v>
      </c>
      <c r="O47">
        <v>1</v>
      </c>
    </row>
    <row r="48" spans="1:15" x14ac:dyDescent="0.25">
      <c r="A48" t="s">
        <v>41</v>
      </c>
      <c r="B48">
        <v>0.8</v>
      </c>
      <c r="C48" t="s">
        <v>42</v>
      </c>
      <c r="D48">
        <v>0.8</v>
      </c>
      <c r="E48" t="s">
        <v>39</v>
      </c>
      <c r="F48">
        <v>15</v>
      </c>
      <c r="G48">
        <v>160</v>
      </c>
      <c r="H48">
        <v>8</v>
      </c>
      <c r="I48">
        <v>360</v>
      </c>
      <c r="J48">
        <v>445</v>
      </c>
      <c r="K48">
        <f t="shared" si="0"/>
        <v>85</v>
      </c>
      <c r="L48">
        <v>4.24</v>
      </c>
      <c r="M48">
        <v>6.6028392208649702</v>
      </c>
      <c r="N48">
        <v>3.3291718684977099</v>
      </c>
      <c r="O48">
        <v>1</v>
      </c>
    </row>
    <row r="49" spans="1:15" x14ac:dyDescent="0.25">
      <c r="A49" t="s">
        <v>22</v>
      </c>
      <c r="B49">
        <v>0.2</v>
      </c>
      <c r="C49" t="s">
        <v>31</v>
      </c>
      <c r="D49">
        <v>0.6</v>
      </c>
      <c r="E49" t="s">
        <v>18</v>
      </c>
      <c r="F49">
        <v>15</v>
      </c>
      <c r="G49">
        <v>200</v>
      </c>
      <c r="H49">
        <v>4</v>
      </c>
      <c r="I49">
        <v>330</v>
      </c>
      <c r="J49">
        <v>400</v>
      </c>
      <c r="K49">
        <f t="shared" si="0"/>
        <v>70</v>
      </c>
      <c r="L49">
        <v>5.39</v>
      </c>
      <c r="M49">
        <v>1.8494544109487701</v>
      </c>
      <c r="N49">
        <v>3.1638894747943498</v>
      </c>
      <c r="O49">
        <v>1</v>
      </c>
    </row>
    <row r="50" spans="1:15" x14ac:dyDescent="0.25">
      <c r="A50" t="s">
        <v>30</v>
      </c>
      <c r="B50">
        <v>0.4</v>
      </c>
      <c r="C50" t="s">
        <v>19</v>
      </c>
      <c r="D50">
        <v>0.2</v>
      </c>
      <c r="E50" t="s">
        <v>35</v>
      </c>
      <c r="F50">
        <v>15</v>
      </c>
      <c r="G50">
        <v>160</v>
      </c>
      <c r="H50">
        <v>8</v>
      </c>
      <c r="I50">
        <v>330</v>
      </c>
      <c r="J50">
        <v>395</v>
      </c>
      <c r="K50">
        <f t="shared" si="0"/>
        <v>65</v>
      </c>
      <c r="L50">
        <v>7.73</v>
      </c>
      <c r="M50">
        <v>6.5487884741322899</v>
      </c>
      <c r="N50">
        <v>3.3302251232183302</v>
      </c>
      <c r="O50">
        <v>1</v>
      </c>
    </row>
    <row r="51" spans="1:15" x14ac:dyDescent="0.25">
      <c r="A51" t="s">
        <v>42</v>
      </c>
      <c r="B51">
        <v>0.4</v>
      </c>
      <c r="C51" t="s">
        <v>37</v>
      </c>
      <c r="D51">
        <v>0.8</v>
      </c>
      <c r="E51" t="s">
        <v>35</v>
      </c>
      <c r="F51">
        <v>15</v>
      </c>
      <c r="G51">
        <v>200</v>
      </c>
      <c r="H51">
        <v>4</v>
      </c>
      <c r="I51">
        <v>470</v>
      </c>
      <c r="J51">
        <v>595</v>
      </c>
      <c r="K51">
        <f t="shared" si="0"/>
        <v>125</v>
      </c>
      <c r="L51">
        <v>19.22</v>
      </c>
      <c r="M51">
        <v>1.66458593424886</v>
      </c>
      <c r="N51">
        <v>2.7703708834020202</v>
      </c>
      <c r="O51">
        <v>1</v>
      </c>
    </row>
    <row r="52" spans="1:15" x14ac:dyDescent="0.25">
      <c r="A52" t="s">
        <v>32</v>
      </c>
      <c r="B52">
        <v>0.2</v>
      </c>
      <c r="C52" t="s">
        <v>44</v>
      </c>
      <c r="D52">
        <v>0.6</v>
      </c>
      <c r="E52" t="s">
        <v>15</v>
      </c>
      <c r="F52">
        <v>15</v>
      </c>
      <c r="G52">
        <v>200</v>
      </c>
      <c r="H52">
        <v>6</v>
      </c>
      <c r="I52">
        <v>340</v>
      </c>
      <c r="J52">
        <v>435</v>
      </c>
      <c r="K52">
        <f t="shared" si="0"/>
        <v>95</v>
      </c>
      <c r="L52">
        <v>10.74</v>
      </c>
      <c r="M52">
        <v>1.33253381304551</v>
      </c>
      <c r="N52">
        <v>7.9925402957239902</v>
      </c>
      <c r="O52">
        <v>1</v>
      </c>
    </row>
    <row r="53" spans="1:15" x14ac:dyDescent="0.25">
      <c r="A53" t="s">
        <v>42</v>
      </c>
      <c r="B53">
        <v>0.8</v>
      </c>
      <c r="C53" t="s">
        <v>19</v>
      </c>
      <c r="D53">
        <v>0.6</v>
      </c>
      <c r="E53" t="s">
        <v>35</v>
      </c>
      <c r="F53">
        <v>15</v>
      </c>
      <c r="G53">
        <v>220</v>
      </c>
      <c r="H53">
        <v>8</v>
      </c>
      <c r="I53">
        <v>350</v>
      </c>
      <c r="J53">
        <v>430</v>
      </c>
      <c r="K53">
        <f t="shared" si="0"/>
        <v>80</v>
      </c>
      <c r="L53">
        <v>11.98</v>
      </c>
      <c r="M53">
        <v>3.3291718684977099</v>
      </c>
      <c r="N53">
        <v>9.9906753696549906</v>
      </c>
      <c r="O53">
        <v>1</v>
      </c>
    </row>
    <row r="54" spans="1:15" x14ac:dyDescent="0.25">
      <c r="A54" t="s">
        <v>42</v>
      </c>
      <c r="B54">
        <v>0.8</v>
      </c>
      <c r="C54" t="s">
        <v>21</v>
      </c>
      <c r="D54">
        <v>1</v>
      </c>
      <c r="E54" t="s">
        <v>15</v>
      </c>
      <c r="F54">
        <v>15</v>
      </c>
      <c r="G54">
        <v>180</v>
      </c>
      <c r="H54">
        <v>6</v>
      </c>
      <c r="I54">
        <v>360</v>
      </c>
      <c r="J54">
        <v>485</v>
      </c>
      <c r="K54">
        <f t="shared" si="0"/>
        <v>125</v>
      </c>
      <c r="L54">
        <v>12.35</v>
      </c>
      <c r="M54">
        <v>3.3291718684977099</v>
      </c>
      <c r="N54">
        <v>5.7740054275650996</v>
      </c>
      <c r="O54">
        <v>1</v>
      </c>
    </row>
    <row r="55" spans="1:15" x14ac:dyDescent="0.25">
      <c r="A55" t="s">
        <v>29</v>
      </c>
      <c r="B55">
        <v>0.4</v>
      </c>
      <c r="C55" t="s">
        <v>16</v>
      </c>
      <c r="D55">
        <v>0.4</v>
      </c>
      <c r="E55" t="s">
        <v>33</v>
      </c>
      <c r="F55">
        <v>15</v>
      </c>
      <c r="G55">
        <v>200</v>
      </c>
      <c r="H55">
        <v>8</v>
      </c>
      <c r="I55">
        <v>300</v>
      </c>
      <c r="J55">
        <v>375</v>
      </c>
      <c r="K55">
        <f t="shared" si="0"/>
        <v>75</v>
      </c>
      <c r="L55">
        <v>0.32</v>
      </c>
      <c r="M55">
        <v>3.6653532484193199</v>
      </c>
      <c r="N55">
        <v>2.2202486678508002</v>
      </c>
      <c r="O55">
        <v>0</v>
      </c>
    </row>
    <row r="56" spans="1:15" x14ac:dyDescent="0.25">
      <c r="A56" t="s">
        <v>41</v>
      </c>
      <c r="B56">
        <v>0.8</v>
      </c>
      <c r="C56" t="s">
        <v>19</v>
      </c>
      <c r="D56">
        <v>1</v>
      </c>
      <c r="E56" t="s">
        <v>35</v>
      </c>
      <c r="F56">
        <v>15</v>
      </c>
      <c r="G56">
        <v>180</v>
      </c>
      <c r="H56">
        <v>8</v>
      </c>
      <c r="I56">
        <v>340</v>
      </c>
      <c r="J56">
        <v>405</v>
      </c>
      <c r="K56">
        <f t="shared" si="0"/>
        <v>65</v>
      </c>
      <c r="L56">
        <v>2.62</v>
      </c>
      <c r="M56">
        <v>6.6028392208649702</v>
      </c>
      <c r="N56">
        <v>16.651125616091701</v>
      </c>
      <c r="O56">
        <v>0</v>
      </c>
    </row>
    <row r="57" spans="1:15" x14ac:dyDescent="0.25">
      <c r="A57" t="s">
        <v>29</v>
      </c>
      <c r="B57">
        <v>0.8</v>
      </c>
      <c r="C57" t="s">
        <v>13</v>
      </c>
      <c r="D57">
        <v>0.4</v>
      </c>
      <c r="E57" t="s">
        <v>33</v>
      </c>
      <c r="F57">
        <v>15</v>
      </c>
      <c r="G57">
        <v>180</v>
      </c>
      <c r="H57">
        <v>8</v>
      </c>
      <c r="I57">
        <v>540</v>
      </c>
      <c r="J57">
        <v>635</v>
      </c>
      <c r="K57">
        <f t="shared" si="0"/>
        <v>95</v>
      </c>
      <c r="L57">
        <v>0.82</v>
      </c>
      <c r="M57">
        <v>7.33070649683863</v>
      </c>
      <c r="N57">
        <v>2.6807854701427498</v>
      </c>
      <c r="O57">
        <v>0</v>
      </c>
    </row>
    <row r="58" spans="1:15" x14ac:dyDescent="0.25">
      <c r="A58" t="s">
        <v>28</v>
      </c>
      <c r="B58">
        <v>0.2</v>
      </c>
      <c r="C58" s="5" t="s">
        <v>62</v>
      </c>
      <c r="D58">
        <v>0.6</v>
      </c>
      <c r="E58" t="s">
        <v>39</v>
      </c>
      <c r="F58">
        <v>15</v>
      </c>
      <c r="G58">
        <v>200</v>
      </c>
      <c r="H58">
        <v>8</v>
      </c>
      <c r="I58">
        <v>330</v>
      </c>
      <c r="J58">
        <v>415</v>
      </c>
      <c r="K58">
        <f t="shared" si="0"/>
        <v>85</v>
      </c>
      <c r="L58">
        <v>9.41</v>
      </c>
      <c r="M58">
        <v>1.0410160316468899</v>
      </c>
      <c r="N58">
        <v>5.0369375419744804</v>
      </c>
      <c r="O58">
        <v>1</v>
      </c>
    </row>
    <row r="59" spans="1:15" x14ac:dyDescent="0.25">
      <c r="A59" t="s">
        <v>34</v>
      </c>
      <c r="B59">
        <v>1</v>
      </c>
      <c r="C59" t="s">
        <v>27</v>
      </c>
      <c r="D59">
        <v>0.6</v>
      </c>
      <c r="E59" t="s">
        <v>35</v>
      </c>
      <c r="F59">
        <v>15</v>
      </c>
      <c r="G59">
        <v>160</v>
      </c>
      <c r="H59">
        <v>4</v>
      </c>
      <c r="I59">
        <v>370</v>
      </c>
      <c r="J59">
        <v>445</v>
      </c>
      <c r="K59">
        <f t="shared" si="0"/>
        <v>75</v>
      </c>
      <c r="L59">
        <v>9.8699999999999992</v>
      </c>
      <c r="M59">
        <v>7.6236944423267499</v>
      </c>
      <c r="N59">
        <v>7.8822911192853402</v>
      </c>
      <c r="O59">
        <v>1</v>
      </c>
    </row>
    <row r="60" spans="1:15" x14ac:dyDescent="0.25">
      <c r="A60" t="s">
        <v>29</v>
      </c>
      <c r="B60">
        <v>0.2</v>
      </c>
      <c r="C60" t="s">
        <v>19</v>
      </c>
      <c r="D60">
        <v>1</v>
      </c>
      <c r="E60" t="s">
        <v>35</v>
      </c>
      <c r="F60">
        <v>15</v>
      </c>
      <c r="G60">
        <v>160</v>
      </c>
      <c r="H60">
        <v>8</v>
      </c>
      <c r="I60">
        <v>320</v>
      </c>
      <c r="J60">
        <v>365</v>
      </c>
      <c r="K60">
        <f t="shared" si="0"/>
        <v>45</v>
      </c>
      <c r="L60">
        <v>7.32</v>
      </c>
      <c r="M60">
        <v>1.8326766242096599</v>
      </c>
      <c r="N60">
        <v>16.651125616091701</v>
      </c>
      <c r="O60">
        <v>1</v>
      </c>
    </row>
    <row r="61" spans="1:15" x14ac:dyDescent="0.25">
      <c r="A61" t="s">
        <v>37</v>
      </c>
      <c r="B61">
        <v>0.2</v>
      </c>
      <c r="C61" t="s">
        <v>27</v>
      </c>
      <c r="D61">
        <v>0.8</v>
      </c>
      <c r="E61" t="s">
        <v>39</v>
      </c>
      <c r="F61">
        <v>15</v>
      </c>
      <c r="G61">
        <v>200</v>
      </c>
      <c r="H61">
        <v>8</v>
      </c>
      <c r="I61">
        <v>440</v>
      </c>
      <c r="J61">
        <v>520</v>
      </c>
      <c r="K61">
        <f t="shared" si="0"/>
        <v>80</v>
      </c>
      <c r="L61">
        <v>4.24</v>
      </c>
      <c r="M61">
        <v>0.69259272085050405</v>
      </c>
      <c r="N61">
        <v>10.5097214923805</v>
      </c>
      <c r="O61">
        <v>1</v>
      </c>
    </row>
    <row r="62" spans="1:15" x14ac:dyDescent="0.25">
      <c r="A62" t="s">
        <v>19</v>
      </c>
      <c r="B62">
        <v>0.8</v>
      </c>
      <c r="C62" t="s">
        <v>27</v>
      </c>
      <c r="D62">
        <v>0.2</v>
      </c>
      <c r="E62" t="s">
        <v>18</v>
      </c>
      <c r="F62">
        <v>15</v>
      </c>
      <c r="G62">
        <v>160</v>
      </c>
      <c r="H62">
        <v>6</v>
      </c>
      <c r="I62">
        <v>360</v>
      </c>
      <c r="J62">
        <v>435</v>
      </c>
      <c r="K62">
        <f t="shared" si="0"/>
        <v>75</v>
      </c>
      <c r="L62">
        <v>39.49</v>
      </c>
      <c r="M62">
        <v>13.320900492873299</v>
      </c>
      <c r="N62">
        <v>2.6274303730951099</v>
      </c>
      <c r="O62">
        <v>1</v>
      </c>
    </row>
    <row r="63" spans="1:15" x14ac:dyDescent="0.25">
      <c r="A63" t="s">
        <v>26</v>
      </c>
      <c r="B63">
        <v>0.4</v>
      </c>
      <c r="C63" t="s">
        <v>14</v>
      </c>
      <c r="D63">
        <v>0.6</v>
      </c>
      <c r="E63" t="s">
        <v>18</v>
      </c>
      <c r="F63">
        <v>15</v>
      </c>
      <c r="G63">
        <v>200</v>
      </c>
      <c r="H63">
        <v>4</v>
      </c>
      <c r="I63">
        <v>340</v>
      </c>
      <c r="J63">
        <v>455</v>
      </c>
      <c r="K63">
        <f t="shared" si="0"/>
        <v>115</v>
      </c>
      <c r="L63">
        <v>7.07</v>
      </c>
      <c r="M63">
        <v>2.89603243556328</v>
      </c>
      <c r="N63">
        <v>3.61162944681876</v>
      </c>
      <c r="O63">
        <v>1</v>
      </c>
    </row>
    <row r="64" spans="1:15" x14ac:dyDescent="0.25">
      <c r="A64" t="s">
        <v>19</v>
      </c>
      <c r="B64">
        <v>0.2</v>
      </c>
      <c r="C64" t="s">
        <v>27</v>
      </c>
      <c r="D64">
        <v>0.2</v>
      </c>
      <c r="E64" t="s">
        <v>35</v>
      </c>
      <c r="F64">
        <v>15</v>
      </c>
      <c r="G64">
        <v>160</v>
      </c>
      <c r="H64">
        <v>8</v>
      </c>
      <c r="I64">
        <v>300</v>
      </c>
      <c r="J64">
        <v>400</v>
      </c>
      <c r="K64">
        <f t="shared" si="0"/>
        <v>100</v>
      </c>
      <c r="L64">
        <v>1.62</v>
      </c>
      <c r="M64">
        <v>3.3302251232183302</v>
      </c>
      <c r="N64">
        <v>2.6274303730951099</v>
      </c>
      <c r="O64">
        <v>0</v>
      </c>
    </row>
    <row r="65" spans="1:15" x14ac:dyDescent="0.25">
      <c r="A65" t="s">
        <v>30</v>
      </c>
      <c r="B65">
        <v>1</v>
      </c>
      <c r="C65" t="s">
        <v>43</v>
      </c>
      <c r="D65">
        <v>0.6</v>
      </c>
      <c r="E65" t="s">
        <v>39</v>
      </c>
      <c r="F65">
        <v>15</v>
      </c>
      <c r="G65">
        <v>160</v>
      </c>
      <c r="H65">
        <v>8</v>
      </c>
      <c r="I65">
        <v>310</v>
      </c>
      <c r="J65">
        <v>395</v>
      </c>
      <c r="K65">
        <f t="shared" si="0"/>
        <v>85</v>
      </c>
      <c r="L65">
        <v>6.5</v>
      </c>
      <c r="M65">
        <v>16.3719711853307</v>
      </c>
      <c r="N65">
        <v>3.6321811247654199</v>
      </c>
      <c r="O65">
        <v>1</v>
      </c>
    </row>
    <row r="66" spans="1:15" x14ac:dyDescent="0.25">
      <c r="A66" t="s">
        <v>17</v>
      </c>
      <c r="B66">
        <v>0.8</v>
      </c>
      <c r="C66" t="s">
        <v>14</v>
      </c>
      <c r="D66">
        <v>0.8</v>
      </c>
      <c r="E66" t="s">
        <v>18</v>
      </c>
      <c r="F66">
        <v>15</v>
      </c>
      <c r="G66">
        <v>220</v>
      </c>
      <c r="H66">
        <v>4</v>
      </c>
      <c r="I66">
        <v>360</v>
      </c>
      <c r="J66">
        <v>440</v>
      </c>
      <c r="K66">
        <f t="shared" si="0"/>
        <v>80</v>
      </c>
      <c r="L66">
        <v>62.07</v>
      </c>
      <c r="M66">
        <v>4.4152547050058004</v>
      </c>
      <c r="N66">
        <v>4.81550592909168</v>
      </c>
      <c r="O66">
        <v>1</v>
      </c>
    </row>
    <row r="67" spans="1:15" x14ac:dyDescent="0.25">
      <c r="A67" t="s">
        <v>25</v>
      </c>
      <c r="B67">
        <v>1</v>
      </c>
      <c r="C67" t="s">
        <v>36</v>
      </c>
      <c r="D67">
        <v>0.4</v>
      </c>
      <c r="E67" t="s">
        <v>35</v>
      </c>
      <c r="F67">
        <v>15</v>
      </c>
      <c r="G67">
        <v>160</v>
      </c>
      <c r="H67">
        <v>4</v>
      </c>
      <c r="I67">
        <v>360</v>
      </c>
      <c r="J67">
        <v>435</v>
      </c>
      <c r="K67">
        <f t="shared" ref="K67:K130" si="1">J67-I67</f>
        <v>75</v>
      </c>
      <c r="L67">
        <v>2.7</v>
      </c>
      <c r="M67">
        <v>7.9289565493181096</v>
      </c>
      <c r="N67">
        <v>3.35795836131632</v>
      </c>
      <c r="O67">
        <v>0</v>
      </c>
    </row>
    <row r="68" spans="1:15" x14ac:dyDescent="0.25">
      <c r="A68" t="s">
        <v>32</v>
      </c>
      <c r="B68">
        <v>0.8</v>
      </c>
      <c r="C68" t="s">
        <v>27</v>
      </c>
      <c r="D68">
        <v>0.2</v>
      </c>
      <c r="E68" t="s">
        <v>35</v>
      </c>
      <c r="F68">
        <v>15</v>
      </c>
      <c r="G68">
        <v>180</v>
      </c>
      <c r="H68">
        <v>8</v>
      </c>
      <c r="I68">
        <v>350</v>
      </c>
      <c r="J68">
        <v>445</v>
      </c>
      <c r="K68">
        <f t="shared" si="1"/>
        <v>95</v>
      </c>
      <c r="L68">
        <v>6.57</v>
      </c>
      <c r="M68">
        <v>5.3301352521820196</v>
      </c>
      <c r="N68">
        <v>2.6274303730951099</v>
      </c>
      <c r="O68">
        <v>1</v>
      </c>
    </row>
    <row r="69" spans="1:15" x14ac:dyDescent="0.25">
      <c r="A69" t="s">
        <v>21</v>
      </c>
      <c r="B69">
        <v>1</v>
      </c>
      <c r="C69" t="s">
        <v>21</v>
      </c>
      <c r="D69">
        <v>0.4</v>
      </c>
      <c r="E69" t="s">
        <v>35</v>
      </c>
      <c r="F69">
        <v>15</v>
      </c>
      <c r="G69">
        <v>200</v>
      </c>
      <c r="H69">
        <v>6</v>
      </c>
      <c r="I69">
        <v>320</v>
      </c>
      <c r="J69">
        <v>355</v>
      </c>
      <c r="K69">
        <f t="shared" si="1"/>
        <v>35</v>
      </c>
      <c r="L69">
        <v>2.72</v>
      </c>
      <c r="M69">
        <v>5.7740054275650996</v>
      </c>
      <c r="N69">
        <v>2.3096021710260399</v>
      </c>
      <c r="O69">
        <v>0</v>
      </c>
    </row>
    <row r="70" spans="1:15" x14ac:dyDescent="0.25">
      <c r="A70" t="s">
        <v>24</v>
      </c>
      <c r="B70">
        <v>0.4</v>
      </c>
      <c r="C70" t="s">
        <v>23</v>
      </c>
      <c r="D70">
        <v>0.2</v>
      </c>
      <c r="E70" t="s">
        <v>39</v>
      </c>
      <c r="F70">
        <v>15</v>
      </c>
      <c r="G70">
        <v>220</v>
      </c>
      <c r="H70">
        <v>4</v>
      </c>
      <c r="I70">
        <v>340</v>
      </c>
      <c r="J70">
        <v>470</v>
      </c>
      <c r="K70">
        <f t="shared" si="1"/>
        <v>130</v>
      </c>
      <c r="L70">
        <v>13.28</v>
      </c>
      <c r="M70">
        <v>3.8062612998382299</v>
      </c>
      <c r="N70">
        <v>1.10405741098537</v>
      </c>
      <c r="O70">
        <v>1</v>
      </c>
    </row>
    <row r="71" spans="1:15" x14ac:dyDescent="0.25">
      <c r="A71" t="s">
        <v>22</v>
      </c>
      <c r="B71">
        <v>0.4</v>
      </c>
      <c r="C71" t="s">
        <v>42</v>
      </c>
      <c r="D71">
        <v>0.8</v>
      </c>
      <c r="E71" t="s">
        <v>15</v>
      </c>
      <c r="F71">
        <v>15</v>
      </c>
      <c r="G71">
        <v>160</v>
      </c>
      <c r="H71">
        <v>6</v>
      </c>
      <c r="I71">
        <v>350</v>
      </c>
      <c r="J71">
        <v>490</v>
      </c>
      <c r="K71">
        <f t="shared" si="1"/>
        <v>140</v>
      </c>
      <c r="L71">
        <v>11.35</v>
      </c>
      <c r="M71">
        <v>3.6989088218975401</v>
      </c>
      <c r="N71">
        <v>3.3291718684977099</v>
      </c>
      <c r="O71">
        <v>1</v>
      </c>
    </row>
    <row r="72" spans="1:15" x14ac:dyDescent="0.25">
      <c r="A72" t="s">
        <v>24</v>
      </c>
      <c r="B72">
        <v>0.8</v>
      </c>
      <c r="C72" t="s">
        <v>26</v>
      </c>
      <c r="D72">
        <v>0.6</v>
      </c>
      <c r="E72" t="s">
        <v>33</v>
      </c>
      <c r="F72">
        <v>15</v>
      </c>
      <c r="G72">
        <v>200</v>
      </c>
      <c r="H72">
        <v>8</v>
      </c>
      <c r="I72">
        <v>270</v>
      </c>
      <c r="J72">
        <v>295</v>
      </c>
      <c r="K72">
        <f t="shared" si="1"/>
        <v>25</v>
      </c>
      <c r="L72">
        <v>3.29</v>
      </c>
      <c r="M72">
        <v>7.6125225996764696</v>
      </c>
      <c r="N72">
        <v>4.3440486533449203</v>
      </c>
      <c r="O72">
        <v>0</v>
      </c>
    </row>
    <row r="73" spans="1:15" x14ac:dyDescent="0.25">
      <c r="A73" t="s">
        <v>26</v>
      </c>
      <c r="B73">
        <v>0.8</v>
      </c>
      <c r="C73" t="s">
        <v>42</v>
      </c>
      <c r="D73">
        <v>0.4</v>
      </c>
      <c r="E73" t="s">
        <v>39</v>
      </c>
      <c r="F73">
        <v>15</v>
      </c>
      <c r="G73">
        <v>200</v>
      </c>
      <c r="H73">
        <v>6</v>
      </c>
      <c r="I73">
        <v>340</v>
      </c>
      <c r="J73">
        <v>425</v>
      </c>
      <c r="K73">
        <f t="shared" si="1"/>
        <v>85</v>
      </c>
      <c r="L73">
        <v>3.28</v>
      </c>
      <c r="M73">
        <v>5.7920648711265601</v>
      </c>
      <c r="N73">
        <v>1.66458593424886</v>
      </c>
      <c r="O73">
        <v>1</v>
      </c>
    </row>
    <row r="74" spans="1:15" x14ac:dyDescent="0.25">
      <c r="A74" t="s">
        <v>27</v>
      </c>
      <c r="B74">
        <v>0.6</v>
      </c>
      <c r="C74" t="s">
        <v>37</v>
      </c>
      <c r="D74">
        <v>0.6</v>
      </c>
      <c r="E74" t="s">
        <v>18</v>
      </c>
      <c r="F74">
        <v>15</v>
      </c>
      <c r="G74">
        <v>220</v>
      </c>
      <c r="H74">
        <v>4</v>
      </c>
      <c r="I74">
        <v>450</v>
      </c>
      <c r="J74">
        <v>575</v>
      </c>
      <c r="K74">
        <f t="shared" si="1"/>
        <v>125</v>
      </c>
      <c r="L74">
        <v>14.16</v>
      </c>
      <c r="M74">
        <v>7.8822911192853402</v>
      </c>
      <c r="N74">
        <v>2.0777781625515099</v>
      </c>
      <c r="O74">
        <v>1</v>
      </c>
    </row>
    <row r="75" spans="1:15" x14ac:dyDescent="0.25">
      <c r="A75" t="s">
        <v>21</v>
      </c>
      <c r="B75">
        <v>0.2</v>
      </c>
      <c r="C75" t="s">
        <v>21</v>
      </c>
      <c r="D75">
        <v>1</v>
      </c>
      <c r="E75" t="s">
        <v>18</v>
      </c>
      <c r="F75">
        <v>15</v>
      </c>
      <c r="G75">
        <v>200</v>
      </c>
      <c r="H75">
        <v>8</v>
      </c>
      <c r="I75">
        <v>350</v>
      </c>
      <c r="J75">
        <v>480</v>
      </c>
      <c r="K75">
        <f t="shared" si="1"/>
        <v>130</v>
      </c>
      <c r="L75">
        <v>14.54</v>
      </c>
      <c r="M75">
        <v>1.15480108551302</v>
      </c>
      <c r="N75">
        <v>5.7740054275650996</v>
      </c>
      <c r="O75">
        <v>1</v>
      </c>
    </row>
    <row r="76" spans="1:15" x14ac:dyDescent="0.25">
      <c r="A76" t="s">
        <v>26</v>
      </c>
      <c r="B76">
        <v>0.4</v>
      </c>
      <c r="C76" t="s">
        <v>17</v>
      </c>
      <c r="D76">
        <v>0.4</v>
      </c>
      <c r="E76" t="s">
        <v>18</v>
      </c>
      <c r="F76">
        <v>15</v>
      </c>
      <c r="G76">
        <v>220</v>
      </c>
      <c r="H76">
        <v>4</v>
      </c>
      <c r="I76">
        <v>300</v>
      </c>
      <c r="J76">
        <v>390</v>
      </c>
      <c r="K76">
        <f t="shared" si="1"/>
        <v>90</v>
      </c>
      <c r="L76">
        <v>4.0199999999999996</v>
      </c>
      <c r="M76">
        <v>2.89603243556328</v>
      </c>
      <c r="N76">
        <v>2.2076273525029002</v>
      </c>
      <c r="O76">
        <v>0</v>
      </c>
    </row>
    <row r="77" spans="1:15" x14ac:dyDescent="0.25">
      <c r="A77" t="s">
        <v>22</v>
      </c>
      <c r="B77">
        <v>0.4</v>
      </c>
      <c r="C77" t="s">
        <v>40</v>
      </c>
      <c r="D77">
        <v>0.8</v>
      </c>
      <c r="E77" t="s">
        <v>15</v>
      </c>
      <c r="F77">
        <v>15</v>
      </c>
      <c r="G77">
        <v>200</v>
      </c>
      <c r="H77">
        <v>6</v>
      </c>
      <c r="I77">
        <v>370</v>
      </c>
      <c r="J77">
        <v>505</v>
      </c>
      <c r="K77">
        <f t="shared" si="1"/>
        <v>135</v>
      </c>
      <c r="L77">
        <v>2.99</v>
      </c>
      <c r="M77">
        <v>3.6989088218975401</v>
      </c>
      <c r="N77">
        <v>5.4723305287639397</v>
      </c>
      <c r="O77">
        <v>0</v>
      </c>
    </row>
    <row r="78" spans="1:15" x14ac:dyDescent="0.25">
      <c r="A78" t="s">
        <v>41</v>
      </c>
      <c r="B78">
        <v>1</v>
      </c>
      <c r="C78" t="s">
        <v>41</v>
      </c>
      <c r="D78">
        <v>0.4</v>
      </c>
      <c r="E78" t="s">
        <v>33</v>
      </c>
      <c r="F78">
        <v>15</v>
      </c>
      <c r="G78">
        <v>160</v>
      </c>
      <c r="H78">
        <v>6</v>
      </c>
      <c r="I78">
        <v>390</v>
      </c>
      <c r="J78">
        <v>470</v>
      </c>
      <c r="K78">
        <f t="shared" si="1"/>
        <v>80</v>
      </c>
      <c r="L78">
        <v>3.54</v>
      </c>
      <c r="M78">
        <v>8.2535490260812203</v>
      </c>
      <c r="N78">
        <v>3.30141961043249</v>
      </c>
      <c r="O78">
        <v>0</v>
      </c>
    </row>
    <row r="79" spans="1:15" x14ac:dyDescent="0.25">
      <c r="A79" t="s">
        <v>13</v>
      </c>
      <c r="B79">
        <v>0.6</v>
      </c>
      <c r="C79" t="s">
        <v>30</v>
      </c>
      <c r="D79">
        <v>0.6</v>
      </c>
      <c r="E79" t="s">
        <v>15</v>
      </c>
      <c r="F79">
        <v>15</v>
      </c>
      <c r="G79">
        <v>160</v>
      </c>
      <c r="H79">
        <v>4</v>
      </c>
      <c r="I79">
        <v>340</v>
      </c>
      <c r="J79">
        <v>425</v>
      </c>
      <c r="K79">
        <f t="shared" si="1"/>
        <v>85</v>
      </c>
      <c r="L79">
        <v>6.54</v>
      </c>
      <c r="M79">
        <v>4.0211782052141301</v>
      </c>
      <c r="N79">
        <v>9.8231827111984291</v>
      </c>
      <c r="O79">
        <v>1</v>
      </c>
    </row>
    <row r="80" spans="1:15" x14ac:dyDescent="0.25">
      <c r="A80" t="s">
        <v>30</v>
      </c>
      <c r="B80">
        <v>1</v>
      </c>
      <c r="C80" t="s">
        <v>21</v>
      </c>
      <c r="D80">
        <v>1</v>
      </c>
      <c r="E80" t="s">
        <v>15</v>
      </c>
      <c r="F80">
        <v>15</v>
      </c>
      <c r="G80">
        <v>220</v>
      </c>
      <c r="H80">
        <v>8</v>
      </c>
      <c r="I80">
        <v>340</v>
      </c>
      <c r="J80">
        <v>435</v>
      </c>
      <c r="K80">
        <f t="shared" si="1"/>
        <v>95</v>
      </c>
      <c r="L80">
        <v>4.4400000000000004</v>
      </c>
      <c r="M80">
        <v>16.3719711853307</v>
      </c>
      <c r="N80">
        <v>5.7740054275650996</v>
      </c>
      <c r="O80">
        <v>1</v>
      </c>
    </row>
    <row r="81" spans="1:15" x14ac:dyDescent="0.25">
      <c r="A81" t="s">
        <v>16</v>
      </c>
      <c r="B81">
        <v>1</v>
      </c>
      <c r="C81" t="s">
        <v>22</v>
      </c>
      <c r="D81">
        <v>0.8</v>
      </c>
      <c r="E81" t="s">
        <v>35</v>
      </c>
      <c r="F81">
        <v>15</v>
      </c>
      <c r="G81">
        <v>160</v>
      </c>
      <c r="H81">
        <v>8</v>
      </c>
      <c r="I81" t="s">
        <v>46</v>
      </c>
      <c r="J81" t="s">
        <v>46</v>
      </c>
      <c r="L81" t="s">
        <v>46</v>
      </c>
      <c r="M81">
        <v>5.5506216696269997</v>
      </c>
      <c r="N81">
        <v>7.3978176437950802</v>
      </c>
    </row>
    <row r="82" spans="1:15" x14ac:dyDescent="0.25">
      <c r="A82" t="s">
        <v>19</v>
      </c>
      <c r="B82">
        <v>0.2</v>
      </c>
      <c r="C82" t="s">
        <v>31</v>
      </c>
      <c r="D82">
        <v>0.2</v>
      </c>
      <c r="E82" t="s">
        <v>33</v>
      </c>
      <c r="F82">
        <v>15</v>
      </c>
      <c r="G82">
        <v>200</v>
      </c>
      <c r="H82">
        <v>8</v>
      </c>
      <c r="I82">
        <v>330</v>
      </c>
      <c r="J82">
        <v>520</v>
      </c>
      <c r="K82">
        <f t="shared" si="1"/>
        <v>190</v>
      </c>
      <c r="L82">
        <v>4.0199999999999996</v>
      </c>
      <c r="M82">
        <v>3.3302251232183302</v>
      </c>
      <c r="N82">
        <v>1.0546298249314501</v>
      </c>
      <c r="O82">
        <v>1</v>
      </c>
    </row>
    <row r="83" spans="1:15" x14ac:dyDescent="0.25">
      <c r="A83" t="s">
        <v>45</v>
      </c>
      <c r="B83">
        <v>0.2</v>
      </c>
      <c r="C83" t="s">
        <v>16</v>
      </c>
      <c r="D83">
        <v>0.4</v>
      </c>
      <c r="E83" t="s">
        <v>15</v>
      </c>
      <c r="F83">
        <v>15</v>
      </c>
      <c r="G83">
        <v>200</v>
      </c>
      <c r="H83">
        <v>8</v>
      </c>
      <c r="I83">
        <v>350</v>
      </c>
      <c r="J83">
        <v>460</v>
      </c>
      <c r="K83">
        <f t="shared" si="1"/>
        <v>110</v>
      </c>
      <c r="L83">
        <v>3.06</v>
      </c>
      <c r="M83">
        <v>2.14799699280421</v>
      </c>
      <c r="N83">
        <v>2.2202486678508002</v>
      </c>
      <c r="O83">
        <v>1</v>
      </c>
    </row>
    <row r="84" spans="1:15" x14ac:dyDescent="0.25">
      <c r="A84" t="s">
        <v>29</v>
      </c>
      <c r="B84">
        <v>0.2</v>
      </c>
      <c r="C84" t="s">
        <v>23</v>
      </c>
      <c r="D84">
        <v>1</v>
      </c>
      <c r="E84" t="s">
        <v>35</v>
      </c>
      <c r="F84">
        <v>15</v>
      </c>
      <c r="G84">
        <v>220</v>
      </c>
      <c r="H84">
        <v>4</v>
      </c>
      <c r="I84">
        <v>350</v>
      </c>
      <c r="J84">
        <v>435</v>
      </c>
      <c r="K84">
        <f t="shared" si="1"/>
        <v>85</v>
      </c>
      <c r="L84">
        <v>40.450000000000003</v>
      </c>
      <c r="M84">
        <v>1.8326766242096599</v>
      </c>
      <c r="N84">
        <v>5.5202870549268601</v>
      </c>
      <c r="O84">
        <v>1</v>
      </c>
    </row>
    <row r="85" spans="1:15" x14ac:dyDescent="0.25">
      <c r="A85" t="s">
        <v>28</v>
      </c>
      <c r="B85">
        <v>1</v>
      </c>
      <c r="C85" t="s">
        <v>23</v>
      </c>
      <c r="D85">
        <v>0.8</v>
      </c>
      <c r="E85" t="s">
        <v>33</v>
      </c>
      <c r="F85">
        <v>15</v>
      </c>
      <c r="G85">
        <v>160</v>
      </c>
      <c r="H85">
        <v>8</v>
      </c>
      <c r="I85">
        <v>390</v>
      </c>
      <c r="J85">
        <v>480</v>
      </c>
      <c r="K85">
        <f t="shared" si="1"/>
        <v>90</v>
      </c>
      <c r="L85">
        <v>4.55</v>
      </c>
      <c r="M85">
        <v>5.2050801582344404</v>
      </c>
      <c r="N85">
        <v>4.4162296439414899</v>
      </c>
      <c r="O85">
        <v>1</v>
      </c>
    </row>
    <row r="86" spans="1:15" x14ac:dyDescent="0.25">
      <c r="A86" t="s">
        <v>13</v>
      </c>
      <c r="B86">
        <v>0.2</v>
      </c>
      <c r="C86" t="s">
        <v>28</v>
      </c>
      <c r="D86">
        <v>1</v>
      </c>
      <c r="E86" t="s">
        <v>35</v>
      </c>
      <c r="F86">
        <v>15</v>
      </c>
      <c r="G86">
        <v>220</v>
      </c>
      <c r="H86">
        <v>4</v>
      </c>
      <c r="I86">
        <v>330</v>
      </c>
      <c r="J86">
        <v>395</v>
      </c>
      <c r="K86">
        <f t="shared" si="1"/>
        <v>65</v>
      </c>
      <c r="L86">
        <v>7.57</v>
      </c>
      <c r="M86">
        <v>1.34039273507138</v>
      </c>
      <c r="N86">
        <v>5.2050801582344404</v>
      </c>
      <c r="O86">
        <v>1</v>
      </c>
    </row>
    <row r="87" spans="1:15" x14ac:dyDescent="0.25">
      <c r="A87" t="s">
        <v>20</v>
      </c>
      <c r="B87">
        <v>0.4</v>
      </c>
      <c r="C87" t="s">
        <v>13</v>
      </c>
      <c r="D87">
        <v>0.6</v>
      </c>
      <c r="E87" t="s">
        <v>15</v>
      </c>
      <c r="F87">
        <v>15</v>
      </c>
      <c r="G87">
        <v>180</v>
      </c>
      <c r="H87">
        <v>6</v>
      </c>
      <c r="I87">
        <v>390</v>
      </c>
      <c r="J87">
        <v>575</v>
      </c>
      <c r="K87">
        <f t="shared" si="1"/>
        <v>185</v>
      </c>
      <c r="L87">
        <v>5.93</v>
      </c>
      <c r="M87">
        <v>3.6989088218975401</v>
      </c>
      <c r="N87">
        <v>4.0211782052141301</v>
      </c>
      <c r="O87">
        <v>1</v>
      </c>
    </row>
    <row r="88" spans="1:15" x14ac:dyDescent="0.25">
      <c r="A88" t="s">
        <v>42</v>
      </c>
      <c r="B88">
        <v>0.4</v>
      </c>
      <c r="C88" t="s">
        <v>43</v>
      </c>
      <c r="D88">
        <v>0.4</v>
      </c>
      <c r="E88" t="s">
        <v>35</v>
      </c>
      <c r="F88">
        <v>15</v>
      </c>
      <c r="G88">
        <v>160</v>
      </c>
      <c r="H88">
        <v>6</v>
      </c>
      <c r="I88">
        <v>390</v>
      </c>
      <c r="J88">
        <v>480</v>
      </c>
      <c r="K88">
        <f t="shared" si="1"/>
        <v>90</v>
      </c>
      <c r="L88">
        <v>17.54</v>
      </c>
      <c r="M88">
        <v>1.66458593424886</v>
      </c>
      <c r="N88">
        <v>2.42145408317695</v>
      </c>
      <c r="O88">
        <v>1</v>
      </c>
    </row>
    <row r="89" spans="1:15" x14ac:dyDescent="0.25">
      <c r="A89" t="s">
        <v>14</v>
      </c>
      <c r="B89">
        <v>0.6</v>
      </c>
      <c r="C89" t="s">
        <v>41</v>
      </c>
      <c r="D89">
        <v>1</v>
      </c>
      <c r="E89" t="s">
        <v>33</v>
      </c>
      <c r="F89">
        <v>15</v>
      </c>
      <c r="G89">
        <v>220</v>
      </c>
      <c r="H89">
        <v>4</v>
      </c>
      <c r="I89">
        <v>370</v>
      </c>
      <c r="J89">
        <v>470</v>
      </c>
      <c r="K89">
        <f t="shared" si="1"/>
        <v>100</v>
      </c>
      <c r="L89">
        <v>3.77</v>
      </c>
      <c r="M89">
        <v>3.61162944681876</v>
      </c>
      <c r="N89">
        <v>8.2535490260812203</v>
      </c>
      <c r="O89">
        <v>1</v>
      </c>
    </row>
    <row r="90" spans="1:15" x14ac:dyDescent="0.25">
      <c r="A90" t="s">
        <v>31</v>
      </c>
      <c r="B90">
        <v>0.2</v>
      </c>
      <c r="C90" t="s">
        <v>17</v>
      </c>
      <c r="D90">
        <v>0.4</v>
      </c>
      <c r="E90" t="s">
        <v>39</v>
      </c>
      <c r="F90">
        <v>15</v>
      </c>
      <c r="G90">
        <v>200</v>
      </c>
      <c r="H90">
        <v>4</v>
      </c>
      <c r="I90">
        <v>330</v>
      </c>
      <c r="J90">
        <v>515</v>
      </c>
      <c r="K90">
        <f t="shared" si="1"/>
        <v>185</v>
      </c>
      <c r="L90">
        <v>4.12</v>
      </c>
      <c r="M90">
        <v>1.0546298249314501</v>
      </c>
      <c r="N90">
        <v>2.2076273525029002</v>
      </c>
      <c r="O90">
        <v>1</v>
      </c>
    </row>
    <row r="91" spans="1:15" x14ac:dyDescent="0.25">
      <c r="A91" t="s">
        <v>22</v>
      </c>
      <c r="B91">
        <v>1</v>
      </c>
      <c r="C91" t="s">
        <v>41</v>
      </c>
      <c r="D91">
        <v>0.8</v>
      </c>
      <c r="E91" t="s">
        <v>35</v>
      </c>
      <c r="F91">
        <v>15</v>
      </c>
      <c r="G91">
        <v>220</v>
      </c>
      <c r="H91">
        <v>4</v>
      </c>
      <c r="I91">
        <v>330</v>
      </c>
      <c r="J91">
        <v>395</v>
      </c>
      <c r="K91">
        <f t="shared" si="1"/>
        <v>65</v>
      </c>
      <c r="L91">
        <v>3.23</v>
      </c>
      <c r="M91">
        <v>9.2472720547438492</v>
      </c>
      <c r="N91">
        <v>6.6028392208649702</v>
      </c>
      <c r="O91">
        <v>0</v>
      </c>
    </row>
    <row r="92" spans="1:15" x14ac:dyDescent="0.25">
      <c r="A92" t="s">
        <v>32</v>
      </c>
      <c r="B92">
        <v>0.8</v>
      </c>
      <c r="C92" t="s">
        <v>17</v>
      </c>
      <c r="D92">
        <v>0.6</v>
      </c>
      <c r="E92" t="s">
        <v>15</v>
      </c>
      <c r="F92">
        <v>15</v>
      </c>
      <c r="G92">
        <v>220</v>
      </c>
      <c r="H92">
        <v>6</v>
      </c>
      <c r="I92">
        <v>320</v>
      </c>
      <c r="J92">
        <v>390</v>
      </c>
      <c r="K92">
        <f t="shared" si="1"/>
        <v>70</v>
      </c>
      <c r="L92">
        <v>1.19</v>
      </c>
      <c r="M92">
        <v>5.3301352521820196</v>
      </c>
      <c r="N92">
        <v>3.3114410287543499</v>
      </c>
      <c r="O92">
        <v>0</v>
      </c>
    </row>
    <row r="93" spans="1:15" x14ac:dyDescent="0.25">
      <c r="A93" t="s">
        <v>25</v>
      </c>
      <c r="B93">
        <v>0.6</v>
      </c>
      <c r="C93" t="s">
        <v>21</v>
      </c>
      <c r="D93">
        <v>0.6</v>
      </c>
      <c r="E93" t="s">
        <v>18</v>
      </c>
      <c r="F93">
        <v>15</v>
      </c>
      <c r="G93">
        <v>200</v>
      </c>
      <c r="H93">
        <v>8</v>
      </c>
      <c r="I93">
        <v>350</v>
      </c>
      <c r="J93">
        <v>425</v>
      </c>
      <c r="K93">
        <f t="shared" si="1"/>
        <v>75</v>
      </c>
      <c r="L93">
        <v>2.8</v>
      </c>
      <c r="M93">
        <v>4.7573739295908704</v>
      </c>
      <c r="N93">
        <v>3.4644032565390601</v>
      </c>
      <c r="O93">
        <v>0</v>
      </c>
    </row>
    <row r="94" spans="1:15" x14ac:dyDescent="0.25">
      <c r="A94" t="s">
        <v>40</v>
      </c>
      <c r="B94">
        <v>0.8</v>
      </c>
      <c r="C94" t="s">
        <v>21</v>
      </c>
      <c r="D94">
        <v>0.2</v>
      </c>
      <c r="E94" t="s">
        <v>39</v>
      </c>
      <c r="F94">
        <v>15</v>
      </c>
      <c r="G94">
        <v>220</v>
      </c>
      <c r="H94">
        <v>4</v>
      </c>
      <c r="I94">
        <v>350</v>
      </c>
      <c r="J94">
        <v>480</v>
      </c>
      <c r="K94">
        <f t="shared" si="1"/>
        <v>130</v>
      </c>
      <c r="L94">
        <v>36.01</v>
      </c>
      <c r="M94">
        <v>5.4723305287639397</v>
      </c>
      <c r="N94">
        <v>1.15480108551302</v>
      </c>
      <c r="O94">
        <v>1</v>
      </c>
    </row>
    <row r="95" spans="1:15" x14ac:dyDescent="0.25">
      <c r="A95" t="s">
        <v>27</v>
      </c>
      <c r="B95">
        <v>0.8</v>
      </c>
      <c r="C95" t="s">
        <v>32</v>
      </c>
      <c r="D95">
        <v>1</v>
      </c>
      <c r="E95" t="s">
        <v>35</v>
      </c>
      <c r="F95">
        <v>15</v>
      </c>
      <c r="G95">
        <v>160</v>
      </c>
      <c r="H95">
        <v>6</v>
      </c>
      <c r="I95">
        <v>360</v>
      </c>
      <c r="J95">
        <v>440</v>
      </c>
      <c r="K95">
        <f t="shared" si="1"/>
        <v>80</v>
      </c>
      <c r="L95">
        <v>6.21</v>
      </c>
      <c r="M95">
        <v>10.5097214923805</v>
      </c>
      <c r="N95">
        <v>6.6626690652275302</v>
      </c>
      <c r="O95">
        <v>1</v>
      </c>
    </row>
    <row r="96" spans="1:15" x14ac:dyDescent="0.25">
      <c r="A96" t="s">
        <v>45</v>
      </c>
      <c r="B96">
        <v>0.2</v>
      </c>
      <c r="C96" t="s">
        <v>37</v>
      </c>
      <c r="D96">
        <v>1</v>
      </c>
      <c r="E96" t="s">
        <v>35</v>
      </c>
      <c r="F96">
        <v>15</v>
      </c>
      <c r="G96">
        <v>220</v>
      </c>
      <c r="H96">
        <v>4</v>
      </c>
      <c r="I96">
        <v>460</v>
      </c>
      <c r="J96">
        <v>595</v>
      </c>
      <c r="K96">
        <f t="shared" si="1"/>
        <v>135</v>
      </c>
      <c r="L96">
        <v>13.98</v>
      </c>
      <c r="M96">
        <v>2.14799699280421</v>
      </c>
      <c r="N96">
        <v>3.4629636042525198</v>
      </c>
      <c r="O96">
        <v>1</v>
      </c>
    </row>
    <row r="97" spans="1:15" x14ac:dyDescent="0.25">
      <c r="A97" t="s">
        <v>43</v>
      </c>
      <c r="B97">
        <v>0.8</v>
      </c>
      <c r="C97" t="s">
        <v>45</v>
      </c>
      <c r="D97">
        <v>0.4</v>
      </c>
      <c r="E97" t="s">
        <v>39</v>
      </c>
      <c r="F97">
        <v>15</v>
      </c>
      <c r="G97">
        <v>200</v>
      </c>
      <c r="H97">
        <v>6</v>
      </c>
      <c r="I97">
        <v>330</v>
      </c>
      <c r="J97">
        <v>430</v>
      </c>
      <c r="K97">
        <f t="shared" si="1"/>
        <v>100</v>
      </c>
      <c r="L97">
        <v>5.5</v>
      </c>
      <c r="M97">
        <v>4.8429081663539</v>
      </c>
      <c r="N97">
        <v>4.2959939856084199</v>
      </c>
      <c r="O97">
        <v>1</v>
      </c>
    </row>
    <row r="98" spans="1:15" x14ac:dyDescent="0.25">
      <c r="A98" t="s">
        <v>24</v>
      </c>
      <c r="B98">
        <v>1</v>
      </c>
      <c r="C98" t="s">
        <v>42</v>
      </c>
      <c r="D98">
        <v>0.8</v>
      </c>
      <c r="E98" t="s">
        <v>15</v>
      </c>
      <c r="F98">
        <v>15</v>
      </c>
      <c r="G98">
        <v>180</v>
      </c>
      <c r="H98">
        <v>4</v>
      </c>
      <c r="I98">
        <v>350</v>
      </c>
      <c r="J98">
        <v>435</v>
      </c>
      <c r="K98">
        <f t="shared" si="1"/>
        <v>85</v>
      </c>
      <c r="L98">
        <v>3.81</v>
      </c>
      <c r="M98">
        <v>9.5156532495955801</v>
      </c>
      <c r="N98">
        <v>3.3291718684977099</v>
      </c>
      <c r="O98">
        <v>0</v>
      </c>
    </row>
    <row r="99" spans="1:15" x14ac:dyDescent="0.25">
      <c r="A99" t="s">
        <v>26</v>
      </c>
      <c r="B99">
        <v>0.4</v>
      </c>
      <c r="C99" t="s">
        <v>42</v>
      </c>
      <c r="D99">
        <v>1</v>
      </c>
      <c r="E99" t="s">
        <v>15</v>
      </c>
      <c r="F99">
        <v>15</v>
      </c>
      <c r="G99">
        <v>180</v>
      </c>
      <c r="H99">
        <v>4</v>
      </c>
      <c r="I99">
        <v>320</v>
      </c>
      <c r="J99">
        <v>410</v>
      </c>
      <c r="K99">
        <f t="shared" si="1"/>
        <v>90</v>
      </c>
      <c r="L99">
        <v>15.54</v>
      </c>
      <c r="M99">
        <v>2.89603243556328</v>
      </c>
      <c r="N99">
        <v>4.16146483562214</v>
      </c>
      <c r="O99">
        <v>1</v>
      </c>
    </row>
    <row r="100" spans="1:15" x14ac:dyDescent="0.25">
      <c r="A100" t="s">
        <v>26</v>
      </c>
      <c r="B100">
        <v>0.2</v>
      </c>
      <c r="C100" t="s">
        <v>41</v>
      </c>
      <c r="D100">
        <v>0.4</v>
      </c>
      <c r="E100" t="s">
        <v>15</v>
      </c>
      <c r="F100">
        <v>15</v>
      </c>
      <c r="G100">
        <v>220</v>
      </c>
      <c r="H100">
        <v>4</v>
      </c>
      <c r="I100">
        <v>300</v>
      </c>
      <c r="J100">
        <v>405</v>
      </c>
      <c r="K100">
        <f t="shared" si="1"/>
        <v>105</v>
      </c>
      <c r="L100">
        <v>16.84</v>
      </c>
      <c r="M100">
        <v>1.44801621778164</v>
      </c>
      <c r="N100">
        <v>3.30141961043249</v>
      </c>
      <c r="O100">
        <v>1</v>
      </c>
    </row>
    <row r="101" spans="1:15" x14ac:dyDescent="0.25">
      <c r="A101" t="s">
        <v>20</v>
      </c>
      <c r="B101">
        <v>1</v>
      </c>
      <c r="C101" t="s">
        <v>44</v>
      </c>
      <c r="D101">
        <v>0.6</v>
      </c>
      <c r="E101" t="s">
        <v>15</v>
      </c>
      <c r="F101">
        <v>15</v>
      </c>
      <c r="G101">
        <v>200</v>
      </c>
      <c r="H101">
        <v>4</v>
      </c>
      <c r="I101">
        <v>420</v>
      </c>
      <c r="J101">
        <v>575</v>
      </c>
      <c r="K101">
        <f t="shared" si="1"/>
        <v>155</v>
      </c>
      <c r="L101">
        <v>3.9</v>
      </c>
      <c r="M101">
        <v>9.2472720547438492</v>
      </c>
      <c r="N101">
        <v>7.9925402957239902</v>
      </c>
      <c r="O101">
        <v>1</v>
      </c>
    </row>
    <row r="102" spans="1:15" x14ac:dyDescent="0.25">
      <c r="A102" t="s">
        <v>19</v>
      </c>
      <c r="B102">
        <v>1</v>
      </c>
      <c r="C102" t="s">
        <v>41</v>
      </c>
      <c r="D102">
        <v>0.4</v>
      </c>
      <c r="E102" t="s">
        <v>35</v>
      </c>
      <c r="F102">
        <v>15</v>
      </c>
      <c r="G102">
        <v>220</v>
      </c>
      <c r="H102">
        <v>4</v>
      </c>
      <c r="I102">
        <v>350</v>
      </c>
      <c r="J102">
        <v>435</v>
      </c>
      <c r="K102">
        <f t="shared" si="1"/>
        <v>85</v>
      </c>
      <c r="L102">
        <v>13.6</v>
      </c>
      <c r="M102">
        <v>16.651125616091701</v>
      </c>
      <c r="N102">
        <v>3.30141961043249</v>
      </c>
      <c r="O102">
        <v>1</v>
      </c>
    </row>
    <row r="103" spans="1:15" x14ac:dyDescent="0.25">
      <c r="A103" t="s">
        <v>45</v>
      </c>
      <c r="B103">
        <v>0.2</v>
      </c>
      <c r="C103" t="s">
        <v>41</v>
      </c>
      <c r="D103">
        <v>0.8</v>
      </c>
      <c r="E103" t="s">
        <v>33</v>
      </c>
      <c r="F103">
        <v>15</v>
      </c>
      <c r="G103">
        <v>220</v>
      </c>
      <c r="H103">
        <v>4</v>
      </c>
      <c r="I103">
        <v>320</v>
      </c>
      <c r="J103">
        <v>455</v>
      </c>
      <c r="K103">
        <f t="shared" si="1"/>
        <v>135</v>
      </c>
      <c r="L103">
        <v>2.96</v>
      </c>
      <c r="M103">
        <v>2.14799699280421</v>
      </c>
      <c r="N103">
        <v>6.6028392208649702</v>
      </c>
      <c r="O103">
        <v>0</v>
      </c>
    </row>
    <row r="104" spans="1:15" x14ac:dyDescent="0.25">
      <c r="A104" t="s">
        <v>21</v>
      </c>
      <c r="B104">
        <v>0.2</v>
      </c>
      <c r="C104" s="5" t="s">
        <v>57</v>
      </c>
      <c r="D104">
        <v>1</v>
      </c>
      <c r="E104" t="s">
        <v>18</v>
      </c>
      <c r="F104">
        <v>15</v>
      </c>
      <c r="G104">
        <v>220</v>
      </c>
      <c r="H104">
        <v>8</v>
      </c>
      <c r="I104">
        <v>350</v>
      </c>
      <c r="J104">
        <v>435</v>
      </c>
      <c r="K104">
        <f t="shared" si="1"/>
        <v>85</v>
      </c>
      <c r="L104">
        <v>9.48</v>
      </c>
      <c r="M104">
        <v>1.15480108551302</v>
      </c>
      <c r="N104">
        <v>6.7019636753568799</v>
      </c>
      <c r="O104">
        <v>1</v>
      </c>
    </row>
    <row r="105" spans="1:15" x14ac:dyDescent="0.25">
      <c r="A105" t="s">
        <v>27</v>
      </c>
      <c r="B105">
        <v>0.4</v>
      </c>
      <c r="C105" t="s">
        <v>42</v>
      </c>
      <c r="D105">
        <v>0.8</v>
      </c>
      <c r="E105" t="s">
        <v>33</v>
      </c>
      <c r="F105">
        <v>15</v>
      </c>
      <c r="G105">
        <v>160</v>
      </c>
      <c r="H105">
        <v>6</v>
      </c>
      <c r="I105">
        <v>350</v>
      </c>
      <c r="J105">
        <v>490</v>
      </c>
      <c r="K105">
        <f t="shared" si="1"/>
        <v>140</v>
      </c>
      <c r="L105">
        <v>2.27</v>
      </c>
      <c r="M105">
        <v>5.2548607461902304</v>
      </c>
      <c r="N105">
        <v>3.3291718684977099</v>
      </c>
      <c r="O105">
        <v>0</v>
      </c>
    </row>
    <row r="106" spans="1:15" x14ac:dyDescent="0.25">
      <c r="A106" t="s">
        <v>42</v>
      </c>
      <c r="B106">
        <v>0.2</v>
      </c>
      <c r="C106" t="s">
        <v>36</v>
      </c>
      <c r="D106">
        <v>0.6</v>
      </c>
      <c r="E106" t="s">
        <v>15</v>
      </c>
      <c r="F106">
        <v>15</v>
      </c>
      <c r="G106">
        <v>180</v>
      </c>
      <c r="H106">
        <v>4</v>
      </c>
      <c r="I106">
        <v>0</v>
      </c>
      <c r="J106">
        <v>0</v>
      </c>
      <c r="K106">
        <v>0</v>
      </c>
      <c r="L106">
        <v>0</v>
      </c>
      <c r="M106">
        <v>0.83229296712442802</v>
      </c>
      <c r="N106">
        <v>5.0369375419744804</v>
      </c>
      <c r="O106">
        <v>0</v>
      </c>
    </row>
    <row r="107" spans="1:15" x14ac:dyDescent="0.25">
      <c r="A107" t="s">
        <v>24</v>
      </c>
      <c r="B107">
        <v>0.8</v>
      </c>
      <c r="C107" t="s">
        <v>36</v>
      </c>
      <c r="D107">
        <v>0.8</v>
      </c>
      <c r="E107" t="s">
        <v>33</v>
      </c>
      <c r="F107">
        <v>15</v>
      </c>
      <c r="G107">
        <v>220</v>
      </c>
      <c r="H107">
        <v>6</v>
      </c>
      <c r="I107">
        <v>330</v>
      </c>
      <c r="J107">
        <v>405</v>
      </c>
      <c r="K107">
        <f t="shared" si="1"/>
        <v>75</v>
      </c>
      <c r="L107">
        <v>11.53</v>
      </c>
      <c r="M107">
        <v>7.6125225996764696</v>
      </c>
      <c r="N107">
        <v>6.7159167226326399</v>
      </c>
      <c r="O107">
        <v>1</v>
      </c>
    </row>
    <row r="108" spans="1:15" x14ac:dyDescent="0.25">
      <c r="A108" t="s">
        <v>44</v>
      </c>
      <c r="B108">
        <v>0.4</v>
      </c>
      <c r="C108" t="s">
        <v>14</v>
      </c>
      <c r="D108">
        <v>0.2</v>
      </c>
      <c r="E108" t="s">
        <v>35</v>
      </c>
      <c r="F108">
        <v>15</v>
      </c>
      <c r="G108">
        <v>160</v>
      </c>
      <c r="H108">
        <v>8</v>
      </c>
      <c r="I108">
        <v>310</v>
      </c>
      <c r="J108">
        <v>340</v>
      </c>
      <c r="K108">
        <f t="shared" si="1"/>
        <v>30</v>
      </c>
      <c r="L108">
        <v>2.66</v>
      </c>
      <c r="M108">
        <v>5.3283601971493297</v>
      </c>
      <c r="N108">
        <v>1.20387648227292</v>
      </c>
      <c r="O108">
        <v>0</v>
      </c>
    </row>
    <row r="109" spans="1:15" x14ac:dyDescent="0.25">
      <c r="A109" t="s">
        <v>44</v>
      </c>
      <c r="B109">
        <v>0.2</v>
      </c>
      <c r="C109" t="s">
        <v>36</v>
      </c>
      <c r="D109">
        <v>0.2</v>
      </c>
      <c r="E109" t="s">
        <v>15</v>
      </c>
      <c r="F109">
        <v>15</v>
      </c>
      <c r="G109">
        <v>180</v>
      </c>
      <c r="H109">
        <v>8</v>
      </c>
      <c r="I109">
        <v>340</v>
      </c>
      <c r="J109">
        <v>420</v>
      </c>
      <c r="K109">
        <f t="shared" si="1"/>
        <v>80</v>
      </c>
      <c r="L109">
        <v>4.17</v>
      </c>
      <c r="M109">
        <v>2.66418009857466</v>
      </c>
      <c r="N109">
        <v>1.67897918065816</v>
      </c>
      <c r="O109">
        <v>0</v>
      </c>
    </row>
    <row r="110" spans="1:15" x14ac:dyDescent="0.25">
      <c r="A110" t="s">
        <v>31</v>
      </c>
      <c r="B110">
        <v>1</v>
      </c>
      <c r="C110" s="5" t="s">
        <v>62</v>
      </c>
      <c r="D110">
        <v>1</v>
      </c>
      <c r="E110" t="s">
        <v>15</v>
      </c>
      <c r="F110">
        <v>15</v>
      </c>
      <c r="G110">
        <v>220</v>
      </c>
      <c r="H110">
        <v>6</v>
      </c>
      <c r="I110">
        <v>360</v>
      </c>
      <c r="J110">
        <v>465</v>
      </c>
      <c r="K110">
        <f t="shared" si="1"/>
        <v>105</v>
      </c>
      <c r="L110">
        <v>5.98</v>
      </c>
      <c r="M110">
        <v>5.2731491246572499</v>
      </c>
      <c r="N110">
        <v>8.3948959032908004</v>
      </c>
      <c r="O110">
        <v>1</v>
      </c>
    </row>
    <row r="111" spans="1:15" x14ac:dyDescent="0.25">
      <c r="A111" t="s">
        <v>26</v>
      </c>
      <c r="B111">
        <v>0.2</v>
      </c>
      <c r="C111" t="s">
        <v>24</v>
      </c>
      <c r="D111">
        <v>0.6</v>
      </c>
      <c r="E111" t="s">
        <v>35</v>
      </c>
      <c r="F111">
        <v>15</v>
      </c>
      <c r="G111">
        <v>180</v>
      </c>
      <c r="H111">
        <v>6</v>
      </c>
      <c r="I111">
        <v>320</v>
      </c>
      <c r="J111">
        <v>400</v>
      </c>
      <c r="K111">
        <f t="shared" si="1"/>
        <v>80</v>
      </c>
      <c r="L111">
        <v>25.76</v>
      </c>
      <c r="M111">
        <v>1.44801621778164</v>
      </c>
      <c r="N111">
        <v>5.7093919497573502</v>
      </c>
      <c r="O111">
        <v>1</v>
      </c>
    </row>
    <row r="112" spans="1:15" x14ac:dyDescent="0.25">
      <c r="A112" t="s">
        <v>30</v>
      </c>
      <c r="B112">
        <v>0.4</v>
      </c>
      <c r="C112" t="s">
        <v>25</v>
      </c>
      <c r="D112">
        <v>0.6</v>
      </c>
      <c r="E112" t="s">
        <v>35</v>
      </c>
      <c r="F112">
        <v>15</v>
      </c>
      <c r="G112">
        <v>160</v>
      </c>
      <c r="H112">
        <v>6</v>
      </c>
      <c r="I112">
        <v>400</v>
      </c>
      <c r="J112">
        <v>475</v>
      </c>
      <c r="K112">
        <f t="shared" si="1"/>
        <v>75</v>
      </c>
      <c r="L112">
        <v>15.7</v>
      </c>
      <c r="M112">
        <v>6.5487884741322899</v>
      </c>
      <c r="N112">
        <v>4.7573739295908704</v>
      </c>
      <c r="O112">
        <v>1</v>
      </c>
    </row>
    <row r="113" spans="1:15" x14ac:dyDescent="0.25">
      <c r="A113" t="s">
        <v>42</v>
      </c>
      <c r="B113">
        <v>0.4</v>
      </c>
      <c r="C113" t="s">
        <v>40</v>
      </c>
      <c r="D113">
        <v>0.6</v>
      </c>
      <c r="E113" t="s">
        <v>15</v>
      </c>
      <c r="F113">
        <v>15</v>
      </c>
      <c r="G113">
        <v>200</v>
      </c>
      <c r="H113">
        <v>4</v>
      </c>
      <c r="I113">
        <v>330</v>
      </c>
      <c r="J113">
        <v>405</v>
      </c>
      <c r="K113">
        <f t="shared" si="1"/>
        <v>75</v>
      </c>
      <c r="L113">
        <v>4.3499999999999996</v>
      </c>
      <c r="M113">
        <v>1.66458593424886</v>
      </c>
      <c r="N113">
        <v>4.1042478965729501</v>
      </c>
      <c r="O113">
        <v>0</v>
      </c>
    </row>
    <row r="114" spans="1:15" x14ac:dyDescent="0.25">
      <c r="A114" t="s">
        <v>13</v>
      </c>
      <c r="B114">
        <v>0.8</v>
      </c>
      <c r="C114" t="s">
        <v>29</v>
      </c>
      <c r="D114">
        <v>0.4</v>
      </c>
      <c r="E114" t="s">
        <v>33</v>
      </c>
      <c r="F114">
        <v>15</v>
      </c>
      <c r="G114">
        <v>220</v>
      </c>
      <c r="H114">
        <v>6</v>
      </c>
      <c r="I114">
        <v>330</v>
      </c>
      <c r="J114">
        <v>535</v>
      </c>
      <c r="K114">
        <f t="shared" si="1"/>
        <v>205</v>
      </c>
      <c r="L114">
        <v>5.15</v>
      </c>
      <c r="M114">
        <v>5.3615709402854996</v>
      </c>
      <c r="N114">
        <v>3.6653532484193199</v>
      </c>
      <c r="O114">
        <v>1</v>
      </c>
    </row>
    <row r="115" spans="1:15" x14ac:dyDescent="0.25">
      <c r="A115" t="s">
        <v>41</v>
      </c>
      <c r="B115">
        <v>0.8</v>
      </c>
      <c r="C115" t="s">
        <v>22</v>
      </c>
      <c r="D115">
        <v>1</v>
      </c>
      <c r="E115" t="s">
        <v>18</v>
      </c>
      <c r="F115">
        <v>15</v>
      </c>
      <c r="G115">
        <v>200</v>
      </c>
      <c r="H115">
        <v>6</v>
      </c>
      <c r="I115">
        <v>360</v>
      </c>
      <c r="J115">
        <v>450</v>
      </c>
      <c r="K115">
        <f t="shared" si="1"/>
        <v>90</v>
      </c>
      <c r="L115">
        <v>12.21</v>
      </c>
      <c r="M115">
        <v>6.6028392208649702</v>
      </c>
      <c r="N115">
        <v>9.2472720547438492</v>
      </c>
      <c r="O115">
        <v>1</v>
      </c>
    </row>
    <row r="116" spans="1:15" x14ac:dyDescent="0.25">
      <c r="A116" t="s">
        <v>14</v>
      </c>
      <c r="B116">
        <v>0.2</v>
      </c>
      <c r="C116" t="s">
        <v>30</v>
      </c>
      <c r="D116">
        <v>0.2</v>
      </c>
      <c r="E116" t="s">
        <v>39</v>
      </c>
      <c r="F116">
        <v>15</v>
      </c>
      <c r="G116">
        <v>160</v>
      </c>
      <c r="H116">
        <v>4</v>
      </c>
      <c r="I116">
        <v>350</v>
      </c>
      <c r="J116">
        <v>455</v>
      </c>
      <c r="K116">
        <f t="shared" si="1"/>
        <v>105</v>
      </c>
      <c r="L116">
        <v>19.940000000000001</v>
      </c>
      <c r="M116">
        <v>1.20387648227292</v>
      </c>
      <c r="N116">
        <v>3.2743942370661401</v>
      </c>
      <c r="O116">
        <v>1</v>
      </c>
    </row>
    <row r="117" spans="1:15" x14ac:dyDescent="0.25">
      <c r="A117" t="s">
        <v>28</v>
      </c>
      <c r="B117">
        <v>0.4</v>
      </c>
      <c r="C117" t="s">
        <v>45</v>
      </c>
      <c r="D117">
        <v>0.6</v>
      </c>
      <c r="E117" t="s">
        <v>18</v>
      </c>
      <c r="F117">
        <v>15</v>
      </c>
      <c r="G117">
        <v>200</v>
      </c>
      <c r="H117">
        <v>4</v>
      </c>
      <c r="I117">
        <v>250</v>
      </c>
      <c r="J117">
        <v>450</v>
      </c>
      <c r="K117">
        <f t="shared" si="1"/>
        <v>200</v>
      </c>
      <c r="L117">
        <v>11.72</v>
      </c>
      <c r="M117">
        <v>2.0820320632937701</v>
      </c>
      <c r="N117">
        <v>6.4439909784126304</v>
      </c>
      <c r="O117">
        <v>1</v>
      </c>
    </row>
    <row r="118" spans="1:15" x14ac:dyDescent="0.25">
      <c r="A118" t="s">
        <v>36</v>
      </c>
      <c r="B118">
        <v>0.2</v>
      </c>
      <c r="C118" t="s">
        <v>26</v>
      </c>
      <c r="D118">
        <v>0.2</v>
      </c>
      <c r="E118" t="s">
        <v>18</v>
      </c>
      <c r="F118">
        <v>15</v>
      </c>
      <c r="G118">
        <v>160</v>
      </c>
      <c r="H118">
        <v>8</v>
      </c>
      <c r="I118">
        <v>340</v>
      </c>
      <c r="J118">
        <v>405</v>
      </c>
      <c r="K118">
        <f t="shared" si="1"/>
        <v>65</v>
      </c>
      <c r="L118">
        <v>12.88</v>
      </c>
      <c r="M118">
        <v>1.67897918065816</v>
      </c>
      <c r="N118">
        <v>1.44801621778164</v>
      </c>
      <c r="O118">
        <v>1</v>
      </c>
    </row>
    <row r="119" spans="1:15" x14ac:dyDescent="0.25">
      <c r="A119" t="s">
        <v>13</v>
      </c>
      <c r="B119">
        <v>0.6</v>
      </c>
      <c r="C119" t="s">
        <v>27</v>
      </c>
      <c r="D119">
        <v>0.4</v>
      </c>
      <c r="E119" t="s">
        <v>35</v>
      </c>
      <c r="F119">
        <v>15</v>
      </c>
      <c r="G119">
        <v>200</v>
      </c>
      <c r="H119">
        <v>8</v>
      </c>
      <c r="I119">
        <v>340</v>
      </c>
      <c r="J119">
        <v>435</v>
      </c>
      <c r="K119">
        <f t="shared" si="1"/>
        <v>95</v>
      </c>
      <c r="L119">
        <v>4.3600000000000003</v>
      </c>
      <c r="M119">
        <v>4.0211782052141301</v>
      </c>
      <c r="N119">
        <v>5.2548607461902304</v>
      </c>
      <c r="O119">
        <v>1</v>
      </c>
    </row>
    <row r="120" spans="1:15" x14ac:dyDescent="0.25">
      <c r="A120" t="s">
        <v>23</v>
      </c>
      <c r="B120">
        <v>0.8</v>
      </c>
      <c r="C120" t="s">
        <v>40</v>
      </c>
      <c r="D120">
        <v>0.8</v>
      </c>
      <c r="E120" t="s">
        <v>15</v>
      </c>
      <c r="F120">
        <v>15</v>
      </c>
      <c r="G120">
        <v>180</v>
      </c>
      <c r="H120">
        <v>6</v>
      </c>
      <c r="I120">
        <v>330</v>
      </c>
      <c r="J120">
        <v>420</v>
      </c>
      <c r="K120">
        <f t="shared" si="1"/>
        <v>90</v>
      </c>
      <c r="L120">
        <v>62.27</v>
      </c>
      <c r="M120">
        <v>4.4162296439414899</v>
      </c>
      <c r="N120">
        <v>5.4723305287639397</v>
      </c>
      <c r="O120">
        <v>1</v>
      </c>
    </row>
    <row r="121" spans="1:15" x14ac:dyDescent="0.25">
      <c r="A121" t="s">
        <v>23</v>
      </c>
      <c r="B121">
        <v>0.6</v>
      </c>
      <c r="C121" t="s">
        <v>13</v>
      </c>
      <c r="D121">
        <v>0.4</v>
      </c>
      <c r="E121" t="s">
        <v>15</v>
      </c>
      <c r="F121">
        <v>15</v>
      </c>
      <c r="G121">
        <v>160</v>
      </c>
      <c r="H121">
        <v>4</v>
      </c>
      <c r="I121">
        <v>390</v>
      </c>
      <c r="J121">
        <v>455</v>
      </c>
      <c r="K121">
        <f t="shared" si="1"/>
        <v>65</v>
      </c>
      <c r="L121">
        <v>93.09</v>
      </c>
      <c r="M121">
        <v>3.3121722329561099</v>
      </c>
      <c r="N121">
        <v>2.6807854701427498</v>
      </c>
      <c r="O121">
        <v>1</v>
      </c>
    </row>
    <row r="122" spans="1:15" x14ac:dyDescent="0.25">
      <c r="A122" t="s">
        <v>16</v>
      </c>
      <c r="B122">
        <v>0.4</v>
      </c>
      <c r="C122" t="s">
        <v>19</v>
      </c>
      <c r="D122">
        <v>1</v>
      </c>
      <c r="E122" t="s">
        <v>33</v>
      </c>
      <c r="F122">
        <v>15</v>
      </c>
      <c r="G122">
        <v>220</v>
      </c>
      <c r="H122">
        <v>8</v>
      </c>
      <c r="I122">
        <v>370</v>
      </c>
      <c r="J122">
        <v>425</v>
      </c>
      <c r="K122">
        <f t="shared" si="1"/>
        <v>55</v>
      </c>
      <c r="L122">
        <v>9.7200000000000006</v>
      </c>
      <c r="M122">
        <v>2.2202486678508002</v>
      </c>
      <c r="N122">
        <v>16.651125616091701</v>
      </c>
      <c r="O122">
        <v>1</v>
      </c>
    </row>
    <row r="123" spans="1:15" s="6" customFormat="1" x14ac:dyDescent="0.25">
      <c r="A123" s="6" t="s">
        <v>19</v>
      </c>
      <c r="B123" s="6">
        <v>0.8</v>
      </c>
      <c r="C123" s="6" t="s">
        <v>27</v>
      </c>
      <c r="D123" s="6">
        <v>0.2</v>
      </c>
      <c r="E123" s="6" t="s">
        <v>39</v>
      </c>
      <c r="F123" s="6">
        <v>15</v>
      </c>
      <c r="G123" s="6">
        <v>180</v>
      </c>
      <c r="H123" s="6">
        <v>4</v>
      </c>
      <c r="I123" s="6">
        <v>350</v>
      </c>
      <c r="J123" s="6">
        <v>400</v>
      </c>
      <c r="K123">
        <f t="shared" si="1"/>
        <v>50</v>
      </c>
      <c r="L123" s="6">
        <v>0.1</v>
      </c>
      <c r="M123" s="6">
        <v>13.320900492873299</v>
      </c>
      <c r="N123" s="6">
        <v>2.6274303730951099</v>
      </c>
      <c r="O123" s="6">
        <v>0</v>
      </c>
    </row>
    <row r="124" spans="1:15" x14ac:dyDescent="0.25">
      <c r="A124" t="s">
        <v>30</v>
      </c>
      <c r="B124">
        <v>0.8</v>
      </c>
      <c r="C124" t="s">
        <v>21</v>
      </c>
      <c r="D124">
        <v>0.6</v>
      </c>
      <c r="E124" t="s">
        <v>39</v>
      </c>
      <c r="F124">
        <v>15</v>
      </c>
      <c r="G124">
        <v>200</v>
      </c>
      <c r="H124">
        <v>4</v>
      </c>
      <c r="I124">
        <v>350</v>
      </c>
      <c r="J124">
        <v>480</v>
      </c>
      <c r="K124">
        <f t="shared" si="1"/>
        <v>130</v>
      </c>
      <c r="L124">
        <v>6.38</v>
      </c>
      <c r="M124">
        <v>13.097576948264599</v>
      </c>
      <c r="N124">
        <v>3.4644032565390601</v>
      </c>
      <c r="O124">
        <v>1</v>
      </c>
    </row>
    <row r="125" spans="1:15" x14ac:dyDescent="0.25">
      <c r="A125" t="s">
        <v>37</v>
      </c>
      <c r="B125">
        <v>0.2</v>
      </c>
      <c r="C125" t="s">
        <v>22</v>
      </c>
      <c r="D125">
        <v>0.8</v>
      </c>
      <c r="E125" t="s">
        <v>33</v>
      </c>
      <c r="F125">
        <v>15</v>
      </c>
      <c r="G125">
        <v>200</v>
      </c>
      <c r="H125">
        <v>8</v>
      </c>
      <c r="I125">
        <v>600</v>
      </c>
      <c r="J125">
        <v>630</v>
      </c>
      <c r="K125">
        <f t="shared" si="1"/>
        <v>30</v>
      </c>
      <c r="L125">
        <v>3.12</v>
      </c>
      <c r="M125">
        <v>0.69259272085050405</v>
      </c>
      <c r="N125">
        <v>7.3978176437950802</v>
      </c>
      <c r="O125">
        <v>0</v>
      </c>
    </row>
    <row r="126" spans="1:15" x14ac:dyDescent="0.25">
      <c r="A126" t="s">
        <v>30</v>
      </c>
      <c r="B126">
        <v>0.6</v>
      </c>
      <c r="C126" t="s">
        <v>42</v>
      </c>
      <c r="D126">
        <v>1</v>
      </c>
      <c r="E126" t="s">
        <v>15</v>
      </c>
      <c r="F126">
        <v>15</v>
      </c>
      <c r="G126">
        <v>160</v>
      </c>
      <c r="H126">
        <v>6</v>
      </c>
      <c r="I126">
        <v>330</v>
      </c>
      <c r="J126">
        <v>390</v>
      </c>
      <c r="K126">
        <f t="shared" si="1"/>
        <v>60</v>
      </c>
      <c r="L126">
        <v>3.64</v>
      </c>
      <c r="M126">
        <v>9.8231827111984291</v>
      </c>
      <c r="N126">
        <v>4.16146483562214</v>
      </c>
      <c r="O126">
        <v>0</v>
      </c>
    </row>
    <row r="127" spans="1:15" x14ac:dyDescent="0.25">
      <c r="A127" t="s">
        <v>41</v>
      </c>
      <c r="B127">
        <v>0.6</v>
      </c>
      <c r="C127" t="s">
        <v>27</v>
      </c>
      <c r="D127">
        <v>0.8</v>
      </c>
      <c r="E127" t="s">
        <v>18</v>
      </c>
      <c r="F127">
        <v>15</v>
      </c>
      <c r="G127">
        <v>200</v>
      </c>
      <c r="H127">
        <v>4</v>
      </c>
      <c r="I127">
        <v>340</v>
      </c>
      <c r="J127">
        <v>420</v>
      </c>
      <c r="K127">
        <f t="shared" si="1"/>
        <v>80</v>
      </c>
      <c r="L127">
        <v>6.34</v>
      </c>
      <c r="M127">
        <v>4.9521294156487299</v>
      </c>
      <c r="N127">
        <v>10.5097214923805</v>
      </c>
      <c r="O127">
        <v>1</v>
      </c>
    </row>
    <row r="128" spans="1:15" x14ac:dyDescent="0.25">
      <c r="A128" t="s">
        <v>36</v>
      </c>
      <c r="B128">
        <v>1</v>
      </c>
      <c r="C128" t="s">
        <v>43</v>
      </c>
      <c r="D128">
        <v>0.8</v>
      </c>
      <c r="E128" t="s">
        <v>35</v>
      </c>
      <c r="F128">
        <v>15</v>
      </c>
      <c r="G128">
        <v>200</v>
      </c>
      <c r="H128">
        <v>6</v>
      </c>
      <c r="I128">
        <v>370</v>
      </c>
      <c r="J128">
        <v>465</v>
      </c>
      <c r="K128">
        <f t="shared" si="1"/>
        <v>95</v>
      </c>
      <c r="L128">
        <v>10.93</v>
      </c>
      <c r="M128">
        <v>8.3948959032908004</v>
      </c>
      <c r="N128">
        <v>4.8429081663539</v>
      </c>
      <c r="O128">
        <v>1</v>
      </c>
    </row>
    <row r="129" spans="1:15" x14ac:dyDescent="0.25">
      <c r="A129" t="s">
        <v>17</v>
      </c>
      <c r="B129">
        <v>0.6</v>
      </c>
      <c r="C129" t="s">
        <v>43</v>
      </c>
      <c r="D129">
        <v>0.2</v>
      </c>
      <c r="E129" t="s">
        <v>35</v>
      </c>
      <c r="F129">
        <v>15</v>
      </c>
      <c r="G129">
        <v>180</v>
      </c>
      <c r="H129">
        <v>8</v>
      </c>
      <c r="I129">
        <v>370</v>
      </c>
      <c r="J129">
        <v>470</v>
      </c>
      <c r="K129">
        <f t="shared" si="1"/>
        <v>100</v>
      </c>
      <c r="L129">
        <v>8.23</v>
      </c>
      <c r="M129">
        <v>3.3114410287543499</v>
      </c>
      <c r="N129">
        <v>1.2107270415884701</v>
      </c>
      <c r="O129">
        <v>1</v>
      </c>
    </row>
    <row r="130" spans="1:15" x14ac:dyDescent="0.25">
      <c r="A130" t="s">
        <v>44</v>
      </c>
      <c r="B130">
        <v>0.2</v>
      </c>
      <c r="C130" t="s">
        <v>30</v>
      </c>
      <c r="D130">
        <v>0.6</v>
      </c>
      <c r="E130" t="s">
        <v>15</v>
      </c>
      <c r="F130">
        <v>15</v>
      </c>
      <c r="G130">
        <v>200</v>
      </c>
      <c r="H130">
        <v>8</v>
      </c>
      <c r="I130">
        <v>340</v>
      </c>
      <c r="J130">
        <v>435</v>
      </c>
      <c r="K130">
        <f t="shared" si="1"/>
        <v>95</v>
      </c>
      <c r="L130">
        <v>8.74</v>
      </c>
      <c r="M130">
        <v>2.66418009857466</v>
      </c>
      <c r="N130">
        <v>9.8231827111984291</v>
      </c>
      <c r="O130">
        <v>1</v>
      </c>
    </row>
    <row r="131" spans="1:15" x14ac:dyDescent="0.25">
      <c r="A131" t="s">
        <v>21</v>
      </c>
      <c r="B131">
        <v>0.4</v>
      </c>
      <c r="C131" t="s">
        <v>38</v>
      </c>
      <c r="D131">
        <v>0.2</v>
      </c>
      <c r="E131" t="s">
        <v>15</v>
      </c>
      <c r="F131">
        <v>15</v>
      </c>
      <c r="G131">
        <v>220</v>
      </c>
      <c r="H131">
        <v>8</v>
      </c>
      <c r="I131">
        <v>350</v>
      </c>
      <c r="J131">
        <v>450</v>
      </c>
      <c r="K131">
        <f t="shared" ref="K131:K194" si="2">J131-I131</f>
        <v>100</v>
      </c>
      <c r="L131">
        <v>35.85</v>
      </c>
      <c r="M131">
        <v>2.3096021710260399</v>
      </c>
      <c r="N131">
        <v>1.8494544109487701</v>
      </c>
      <c r="O131">
        <v>1</v>
      </c>
    </row>
    <row r="132" spans="1:15" x14ac:dyDescent="0.25">
      <c r="A132" t="s">
        <v>20</v>
      </c>
      <c r="B132">
        <v>0.6</v>
      </c>
      <c r="C132" t="s">
        <v>38</v>
      </c>
      <c r="D132">
        <v>0.2</v>
      </c>
      <c r="E132" t="s">
        <v>35</v>
      </c>
      <c r="F132">
        <v>15</v>
      </c>
      <c r="G132">
        <v>180</v>
      </c>
      <c r="H132">
        <v>6</v>
      </c>
      <c r="I132">
        <v>430</v>
      </c>
      <c r="J132">
        <v>545</v>
      </c>
      <c r="K132">
        <f t="shared" si="2"/>
        <v>115</v>
      </c>
      <c r="L132">
        <v>10.37</v>
      </c>
      <c r="M132">
        <v>5.5483632328463104</v>
      </c>
      <c r="N132">
        <v>1.8494544109487701</v>
      </c>
      <c r="O132">
        <v>1</v>
      </c>
    </row>
    <row r="133" spans="1:15" x14ac:dyDescent="0.25">
      <c r="A133" t="s">
        <v>43</v>
      </c>
      <c r="B133">
        <v>0.2</v>
      </c>
      <c r="C133" t="s">
        <v>21</v>
      </c>
      <c r="D133">
        <v>1</v>
      </c>
      <c r="E133" t="s">
        <v>35</v>
      </c>
      <c r="F133">
        <v>15</v>
      </c>
      <c r="G133">
        <v>220</v>
      </c>
      <c r="H133">
        <v>8</v>
      </c>
      <c r="I133">
        <v>350</v>
      </c>
      <c r="J133">
        <v>430</v>
      </c>
      <c r="K133">
        <f t="shared" si="2"/>
        <v>80</v>
      </c>
      <c r="L133">
        <v>1.9</v>
      </c>
      <c r="M133">
        <v>1.2107270415884701</v>
      </c>
      <c r="N133">
        <v>5.7740054275650996</v>
      </c>
      <c r="O133">
        <v>0</v>
      </c>
    </row>
    <row r="134" spans="1:15" x14ac:dyDescent="0.25">
      <c r="A134" t="s">
        <v>26</v>
      </c>
      <c r="B134">
        <v>0.6</v>
      </c>
      <c r="C134" t="s">
        <v>40</v>
      </c>
      <c r="D134">
        <v>1</v>
      </c>
      <c r="E134" t="s">
        <v>35</v>
      </c>
      <c r="F134">
        <v>15</v>
      </c>
      <c r="G134">
        <v>220</v>
      </c>
      <c r="H134">
        <v>6</v>
      </c>
      <c r="I134">
        <v>300</v>
      </c>
      <c r="J134">
        <v>405</v>
      </c>
      <c r="K134">
        <f t="shared" si="2"/>
        <v>105</v>
      </c>
      <c r="L134">
        <v>6.74</v>
      </c>
      <c r="M134">
        <v>4.3440486533449203</v>
      </c>
      <c r="N134">
        <v>6.8404131609549204</v>
      </c>
      <c r="O134">
        <v>1</v>
      </c>
    </row>
    <row r="135" spans="1:15" x14ac:dyDescent="0.25">
      <c r="A135" t="s">
        <v>21</v>
      </c>
      <c r="B135">
        <v>0.6</v>
      </c>
      <c r="C135" t="s">
        <v>25</v>
      </c>
      <c r="D135">
        <v>0.8</v>
      </c>
      <c r="E135" t="s">
        <v>15</v>
      </c>
      <c r="F135">
        <v>15</v>
      </c>
      <c r="G135">
        <v>220</v>
      </c>
      <c r="H135">
        <v>8</v>
      </c>
      <c r="I135">
        <v>330</v>
      </c>
      <c r="J135">
        <v>420</v>
      </c>
      <c r="K135">
        <f t="shared" si="2"/>
        <v>90</v>
      </c>
      <c r="L135">
        <v>4.82</v>
      </c>
      <c r="M135">
        <v>3.4644032565390601</v>
      </c>
      <c r="N135">
        <v>6.34316523945449</v>
      </c>
      <c r="O135">
        <v>0</v>
      </c>
    </row>
    <row r="136" spans="1:15" x14ac:dyDescent="0.25">
      <c r="A136" t="s">
        <v>22</v>
      </c>
      <c r="B136">
        <v>0.2</v>
      </c>
      <c r="C136" t="s">
        <v>37</v>
      </c>
      <c r="D136">
        <v>0.4</v>
      </c>
      <c r="E136" t="s">
        <v>33</v>
      </c>
      <c r="F136">
        <v>15</v>
      </c>
      <c r="G136">
        <v>220</v>
      </c>
      <c r="H136">
        <v>6</v>
      </c>
      <c r="I136">
        <v>250</v>
      </c>
      <c r="J136">
        <v>350</v>
      </c>
      <c r="K136">
        <f t="shared" si="2"/>
        <v>100</v>
      </c>
      <c r="L136">
        <v>9.4499999999999993</v>
      </c>
      <c r="M136">
        <v>1.8494544109487701</v>
      </c>
      <c r="N136">
        <v>1.3851854417010101</v>
      </c>
      <c r="O136">
        <v>1</v>
      </c>
    </row>
    <row r="137" spans="1:15" x14ac:dyDescent="0.25">
      <c r="A137" t="s">
        <v>25</v>
      </c>
      <c r="B137">
        <v>0.6</v>
      </c>
      <c r="C137" t="s">
        <v>24</v>
      </c>
      <c r="D137">
        <v>0.4</v>
      </c>
      <c r="E137" t="s">
        <v>35</v>
      </c>
      <c r="F137">
        <v>15</v>
      </c>
      <c r="G137">
        <v>200</v>
      </c>
      <c r="H137">
        <v>8</v>
      </c>
      <c r="I137">
        <v>340</v>
      </c>
      <c r="J137">
        <v>425</v>
      </c>
      <c r="K137">
        <f t="shared" si="2"/>
        <v>85</v>
      </c>
      <c r="L137">
        <v>4.59</v>
      </c>
      <c r="M137">
        <v>4.7573739295908704</v>
      </c>
      <c r="N137">
        <v>3.8062612998382299</v>
      </c>
      <c r="O137">
        <v>0</v>
      </c>
    </row>
    <row r="138" spans="1:15" x14ac:dyDescent="0.25">
      <c r="A138" t="s">
        <v>30</v>
      </c>
      <c r="B138">
        <v>0.6</v>
      </c>
      <c r="C138" t="s">
        <v>21</v>
      </c>
      <c r="D138">
        <v>0.8</v>
      </c>
      <c r="E138" t="s">
        <v>15</v>
      </c>
      <c r="F138">
        <v>15</v>
      </c>
      <c r="G138">
        <v>200</v>
      </c>
      <c r="H138">
        <v>8</v>
      </c>
      <c r="I138">
        <v>340</v>
      </c>
      <c r="J138">
        <v>435</v>
      </c>
      <c r="K138">
        <f t="shared" si="2"/>
        <v>95</v>
      </c>
      <c r="L138">
        <v>4.3899999999999997</v>
      </c>
      <c r="M138">
        <v>9.8231827111984291</v>
      </c>
      <c r="N138">
        <v>4.6192043420520799</v>
      </c>
      <c r="O138">
        <v>0</v>
      </c>
    </row>
    <row r="139" spans="1:15" x14ac:dyDescent="0.25">
      <c r="A139" t="s">
        <v>23</v>
      </c>
      <c r="B139">
        <v>0.2</v>
      </c>
      <c r="C139" t="s">
        <v>38</v>
      </c>
      <c r="D139">
        <v>0.8</v>
      </c>
      <c r="E139" t="s">
        <v>39</v>
      </c>
      <c r="F139">
        <v>15</v>
      </c>
      <c r="G139">
        <v>220</v>
      </c>
      <c r="H139">
        <v>6</v>
      </c>
      <c r="I139">
        <v>390</v>
      </c>
      <c r="J139">
        <v>495</v>
      </c>
      <c r="K139">
        <f t="shared" si="2"/>
        <v>105</v>
      </c>
      <c r="L139">
        <v>25.87</v>
      </c>
      <c r="M139">
        <v>1.10405741098537</v>
      </c>
      <c r="N139">
        <v>7.3978176437950802</v>
      </c>
      <c r="O139">
        <v>1</v>
      </c>
    </row>
    <row r="140" spans="1:15" x14ac:dyDescent="0.25">
      <c r="A140" t="s">
        <v>31</v>
      </c>
      <c r="B140">
        <v>0.2</v>
      </c>
      <c r="C140" t="s">
        <v>31</v>
      </c>
      <c r="D140">
        <v>0.6</v>
      </c>
      <c r="E140" t="s">
        <v>33</v>
      </c>
      <c r="F140">
        <v>15</v>
      </c>
      <c r="G140">
        <v>220</v>
      </c>
      <c r="H140">
        <v>6</v>
      </c>
      <c r="M140">
        <v>1.0546298249314501</v>
      </c>
      <c r="N140">
        <v>3.1638894747943498</v>
      </c>
    </row>
    <row r="141" spans="1:15" x14ac:dyDescent="0.25">
      <c r="A141" t="s">
        <v>14</v>
      </c>
      <c r="B141">
        <v>0.4</v>
      </c>
      <c r="C141" t="s">
        <v>43</v>
      </c>
      <c r="D141">
        <v>0.8</v>
      </c>
      <c r="E141" t="s">
        <v>39</v>
      </c>
      <c r="F141">
        <v>15</v>
      </c>
      <c r="G141">
        <v>200</v>
      </c>
      <c r="H141">
        <v>6</v>
      </c>
      <c r="I141">
        <v>350</v>
      </c>
      <c r="J141">
        <v>435</v>
      </c>
      <c r="K141">
        <f t="shared" si="2"/>
        <v>85</v>
      </c>
      <c r="L141">
        <v>13.15</v>
      </c>
      <c r="M141">
        <v>2.40775296454584</v>
      </c>
      <c r="N141">
        <v>4.8429081663539</v>
      </c>
      <c r="O141">
        <v>1</v>
      </c>
    </row>
    <row r="142" spans="1:15" x14ac:dyDescent="0.25">
      <c r="A142" t="s">
        <v>45</v>
      </c>
      <c r="B142">
        <v>0.8</v>
      </c>
      <c r="C142" t="s">
        <v>26</v>
      </c>
      <c r="D142">
        <v>0.4</v>
      </c>
      <c r="E142" t="s">
        <v>15</v>
      </c>
      <c r="F142">
        <v>15</v>
      </c>
      <c r="G142">
        <v>200</v>
      </c>
      <c r="H142">
        <v>8</v>
      </c>
      <c r="I142">
        <v>330</v>
      </c>
      <c r="J142">
        <v>450</v>
      </c>
      <c r="K142">
        <f t="shared" si="2"/>
        <v>120</v>
      </c>
      <c r="L142">
        <v>3.12</v>
      </c>
      <c r="M142">
        <v>8.5919879712168399</v>
      </c>
      <c r="N142">
        <v>2.89603243556328</v>
      </c>
      <c r="O142">
        <v>1</v>
      </c>
    </row>
    <row r="143" spans="1:15" s="6" customFormat="1" x14ac:dyDescent="0.25">
      <c r="A143" s="6" t="s">
        <v>36</v>
      </c>
      <c r="B143" s="6">
        <v>0.6</v>
      </c>
      <c r="C143" s="6" t="s">
        <v>31</v>
      </c>
      <c r="D143" s="6">
        <v>0.4</v>
      </c>
      <c r="E143" s="6" t="s">
        <v>33</v>
      </c>
      <c r="F143" s="6">
        <v>15</v>
      </c>
      <c r="G143" s="6">
        <v>180</v>
      </c>
      <c r="H143" s="6">
        <v>4</v>
      </c>
      <c r="I143" s="6">
        <v>400</v>
      </c>
      <c r="J143" s="6">
        <v>470</v>
      </c>
      <c r="K143">
        <f t="shared" si="2"/>
        <v>70</v>
      </c>
      <c r="L143" s="6">
        <v>0.17</v>
      </c>
      <c r="M143" s="6">
        <v>5.0369375419744804</v>
      </c>
      <c r="N143" s="6">
        <v>2.1092596498629002</v>
      </c>
      <c r="O143" s="6">
        <v>0</v>
      </c>
    </row>
    <row r="144" spans="1:15" x14ac:dyDescent="0.25">
      <c r="A144" t="s">
        <v>32</v>
      </c>
      <c r="B144">
        <v>0.6</v>
      </c>
      <c r="C144" t="s">
        <v>41</v>
      </c>
      <c r="D144">
        <v>0.4</v>
      </c>
      <c r="E144" t="s">
        <v>33</v>
      </c>
      <c r="F144">
        <v>15</v>
      </c>
      <c r="G144">
        <v>220</v>
      </c>
      <c r="H144">
        <v>8</v>
      </c>
      <c r="I144">
        <v>400</v>
      </c>
      <c r="J144">
        <v>465</v>
      </c>
      <c r="K144">
        <f t="shared" si="2"/>
        <v>65</v>
      </c>
      <c r="L144">
        <v>5.09</v>
      </c>
      <c r="M144">
        <v>3.99760143913652</v>
      </c>
      <c r="N144">
        <v>3.30141961043249</v>
      </c>
      <c r="O144">
        <v>0</v>
      </c>
    </row>
    <row r="145" spans="1:15" x14ac:dyDescent="0.25">
      <c r="A145" t="s">
        <v>38</v>
      </c>
      <c r="B145">
        <v>0.4</v>
      </c>
      <c r="C145" t="s">
        <v>29</v>
      </c>
      <c r="D145">
        <v>0.4</v>
      </c>
      <c r="E145" t="s">
        <v>35</v>
      </c>
      <c r="F145">
        <v>15</v>
      </c>
      <c r="G145">
        <v>180</v>
      </c>
      <c r="H145">
        <v>6</v>
      </c>
      <c r="I145">
        <v>320</v>
      </c>
      <c r="J145">
        <v>370</v>
      </c>
      <c r="K145">
        <f t="shared" si="2"/>
        <v>50</v>
      </c>
      <c r="L145">
        <v>5.89</v>
      </c>
      <c r="M145">
        <v>3.6989088218975401</v>
      </c>
      <c r="N145">
        <v>3.6653532484193199</v>
      </c>
      <c r="O145">
        <v>1</v>
      </c>
    </row>
    <row r="146" spans="1:15" x14ac:dyDescent="0.25">
      <c r="A146" t="s">
        <v>31</v>
      </c>
      <c r="B146">
        <v>0.4</v>
      </c>
      <c r="C146" t="s">
        <v>45</v>
      </c>
      <c r="D146">
        <v>0.2</v>
      </c>
      <c r="E146" t="s">
        <v>39</v>
      </c>
      <c r="F146">
        <v>15</v>
      </c>
      <c r="G146">
        <v>160</v>
      </c>
      <c r="H146">
        <v>8</v>
      </c>
      <c r="I146">
        <v>290</v>
      </c>
      <c r="J146">
        <v>315</v>
      </c>
      <c r="K146">
        <f t="shared" si="2"/>
        <v>25</v>
      </c>
      <c r="L146">
        <v>3.3</v>
      </c>
      <c r="M146">
        <v>2.1092596498629002</v>
      </c>
      <c r="N146">
        <v>2.14799699280421</v>
      </c>
      <c r="O146">
        <v>0</v>
      </c>
    </row>
    <row r="147" spans="1:15" x14ac:dyDescent="0.25">
      <c r="A147" t="s">
        <v>41</v>
      </c>
      <c r="B147">
        <v>0.8</v>
      </c>
      <c r="C147" s="5" t="s">
        <v>54</v>
      </c>
      <c r="D147">
        <v>0.2</v>
      </c>
      <c r="E147" t="s">
        <v>15</v>
      </c>
      <c r="F147">
        <v>15</v>
      </c>
      <c r="G147">
        <v>220</v>
      </c>
      <c r="H147">
        <v>8</v>
      </c>
      <c r="I147">
        <v>330</v>
      </c>
      <c r="J147">
        <v>405</v>
      </c>
      <c r="K147">
        <f t="shared" si="2"/>
        <v>75</v>
      </c>
      <c r="L147">
        <v>5.01</v>
      </c>
      <c r="M147">
        <v>6.6028392208649702</v>
      </c>
      <c r="N147">
        <v>1.36808263219098</v>
      </c>
      <c r="O147">
        <v>0</v>
      </c>
    </row>
    <row r="148" spans="1:15" x14ac:dyDescent="0.25">
      <c r="A148" t="s">
        <v>38</v>
      </c>
      <c r="B148">
        <v>0.8</v>
      </c>
      <c r="C148" t="s">
        <v>17</v>
      </c>
      <c r="D148">
        <v>0.8</v>
      </c>
      <c r="E148" t="s">
        <v>39</v>
      </c>
      <c r="F148">
        <v>15</v>
      </c>
      <c r="G148">
        <v>200</v>
      </c>
      <c r="H148">
        <v>6</v>
      </c>
      <c r="I148">
        <v>390</v>
      </c>
      <c r="J148">
        <v>510</v>
      </c>
      <c r="K148">
        <f t="shared" si="2"/>
        <v>120</v>
      </c>
      <c r="L148">
        <v>19.34</v>
      </c>
      <c r="M148">
        <v>7.3978176437950802</v>
      </c>
      <c r="N148">
        <v>4.4152547050058004</v>
      </c>
      <c r="O148">
        <v>1</v>
      </c>
    </row>
    <row r="149" spans="1:15" x14ac:dyDescent="0.25">
      <c r="A149" t="s">
        <v>25</v>
      </c>
      <c r="B149">
        <v>1</v>
      </c>
      <c r="C149" t="s">
        <v>38</v>
      </c>
      <c r="D149">
        <v>0.8</v>
      </c>
      <c r="E149" t="s">
        <v>15</v>
      </c>
      <c r="F149">
        <v>15</v>
      </c>
      <c r="G149">
        <v>180</v>
      </c>
      <c r="H149">
        <v>8</v>
      </c>
      <c r="I149">
        <v>440</v>
      </c>
      <c r="J149">
        <v>520</v>
      </c>
      <c r="K149">
        <f t="shared" si="2"/>
        <v>80</v>
      </c>
      <c r="L149">
        <v>4.0999999999999996</v>
      </c>
      <c r="M149">
        <v>7.9289565493181096</v>
      </c>
      <c r="N149">
        <v>7.3978176437950802</v>
      </c>
      <c r="O149">
        <v>1</v>
      </c>
    </row>
    <row r="150" spans="1:15" x14ac:dyDescent="0.25">
      <c r="A150" t="s">
        <v>16</v>
      </c>
      <c r="B150">
        <v>0.6</v>
      </c>
      <c r="C150" t="s">
        <v>41</v>
      </c>
      <c r="D150">
        <v>0.2</v>
      </c>
      <c r="E150" t="s">
        <v>35</v>
      </c>
      <c r="F150">
        <v>15</v>
      </c>
      <c r="G150">
        <v>160</v>
      </c>
      <c r="H150">
        <v>6</v>
      </c>
      <c r="I150">
        <v>420</v>
      </c>
      <c r="J150">
        <v>520</v>
      </c>
      <c r="K150">
        <f t="shared" si="2"/>
        <v>100</v>
      </c>
      <c r="L150">
        <v>1.72</v>
      </c>
      <c r="M150">
        <v>3.3303730017761999</v>
      </c>
      <c r="N150">
        <v>1.6507098052162399</v>
      </c>
      <c r="O150">
        <v>0</v>
      </c>
    </row>
    <row r="151" spans="1:15" s="6" customFormat="1" x14ac:dyDescent="0.25">
      <c r="A151" s="6" t="s">
        <v>17</v>
      </c>
      <c r="B151" s="6">
        <v>0.4</v>
      </c>
      <c r="C151" s="6" t="s">
        <v>45</v>
      </c>
      <c r="D151" s="6">
        <v>0.2</v>
      </c>
      <c r="E151" s="6" t="s">
        <v>35</v>
      </c>
      <c r="F151" s="6">
        <v>15</v>
      </c>
      <c r="G151" s="6">
        <v>200</v>
      </c>
      <c r="H151" s="6">
        <v>8</v>
      </c>
      <c r="I151" s="6">
        <v>360</v>
      </c>
      <c r="J151" s="6">
        <v>445</v>
      </c>
      <c r="K151">
        <f t="shared" si="2"/>
        <v>85</v>
      </c>
      <c r="L151" s="6">
        <v>0.35</v>
      </c>
      <c r="M151" s="6">
        <v>2.2076273525029002</v>
      </c>
      <c r="N151" s="6">
        <v>2.14799699280421</v>
      </c>
      <c r="O151" s="6">
        <v>0</v>
      </c>
    </row>
    <row r="152" spans="1:15" x14ac:dyDescent="0.25">
      <c r="A152" t="s">
        <v>13</v>
      </c>
      <c r="B152">
        <v>0.2</v>
      </c>
      <c r="C152" t="s">
        <v>17</v>
      </c>
      <c r="D152">
        <v>0.6</v>
      </c>
      <c r="E152" t="s">
        <v>18</v>
      </c>
      <c r="F152">
        <v>15</v>
      </c>
      <c r="G152">
        <v>220</v>
      </c>
      <c r="H152">
        <v>4</v>
      </c>
      <c r="I152">
        <v>350</v>
      </c>
      <c r="J152">
        <v>435</v>
      </c>
      <c r="K152">
        <f t="shared" si="2"/>
        <v>85</v>
      </c>
      <c r="L152">
        <v>4.3099999999999996</v>
      </c>
      <c r="M152">
        <v>1.34039273507138</v>
      </c>
      <c r="N152">
        <v>3.3114410287543499</v>
      </c>
      <c r="O152">
        <v>0</v>
      </c>
    </row>
    <row r="153" spans="1:15" x14ac:dyDescent="0.25">
      <c r="A153" t="s">
        <v>24</v>
      </c>
      <c r="B153">
        <v>0.2</v>
      </c>
      <c r="C153" t="s">
        <v>16</v>
      </c>
      <c r="D153">
        <v>0.4</v>
      </c>
      <c r="E153" t="s">
        <v>15</v>
      </c>
      <c r="F153">
        <v>15</v>
      </c>
      <c r="G153">
        <v>180</v>
      </c>
      <c r="H153">
        <v>6</v>
      </c>
      <c r="I153">
        <v>390</v>
      </c>
      <c r="J153">
        <v>490</v>
      </c>
      <c r="K153">
        <f t="shared" si="2"/>
        <v>100</v>
      </c>
      <c r="L153">
        <v>5.12</v>
      </c>
      <c r="M153">
        <v>1.9031306499191201</v>
      </c>
      <c r="N153">
        <v>2.2202486678508002</v>
      </c>
      <c r="O153">
        <v>1</v>
      </c>
    </row>
    <row r="154" spans="1:15" s="6" customFormat="1" x14ac:dyDescent="0.25">
      <c r="A154" s="6" t="s">
        <v>31</v>
      </c>
      <c r="B154" s="6">
        <v>0.8</v>
      </c>
      <c r="C154" s="6" t="s">
        <v>28</v>
      </c>
      <c r="D154" s="6">
        <v>0.6</v>
      </c>
      <c r="E154" s="6" t="s">
        <v>15</v>
      </c>
      <c r="F154" s="6">
        <v>15</v>
      </c>
      <c r="G154" s="6">
        <v>200</v>
      </c>
      <c r="H154" s="6">
        <v>4</v>
      </c>
      <c r="I154" s="6">
        <v>320</v>
      </c>
      <c r="J154" s="6">
        <v>520</v>
      </c>
      <c r="K154">
        <f t="shared" si="2"/>
        <v>200</v>
      </c>
      <c r="L154" s="6">
        <v>0.85</v>
      </c>
      <c r="M154" s="6">
        <v>4.2185192997258003</v>
      </c>
      <c r="N154" s="6">
        <v>3.12304809494066</v>
      </c>
      <c r="O154" s="6">
        <v>0</v>
      </c>
    </row>
    <row r="155" spans="1:15" ht="13.5" customHeight="1" x14ac:dyDescent="0.25">
      <c r="A155" t="s">
        <v>30</v>
      </c>
      <c r="B155">
        <v>0.4</v>
      </c>
      <c r="C155" t="s">
        <v>41</v>
      </c>
      <c r="D155">
        <v>0.8</v>
      </c>
      <c r="E155" t="s">
        <v>15</v>
      </c>
      <c r="F155">
        <v>15</v>
      </c>
      <c r="G155">
        <v>220</v>
      </c>
      <c r="H155">
        <v>4</v>
      </c>
      <c r="I155">
        <v>330</v>
      </c>
      <c r="J155">
        <v>405</v>
      </c>
      <c r="K155">
        <f t="shared" si="2"/>
        <v>75</v>
      </c>
      <c r="L155">
        <v>5.47</v>
      </c>
      <c r="M155">
        <v>6.5487884741322899</v>
      </c>
      <c r="N155">
        <v>6.6028392208649702</v>
      </c>
      <c r="O155">
        <v>1</v>
      </c>
    </row>
    <row r="156" spans="1:15" x14ac:dyDescent="0.25">
      <c r="A156" t="s">
        <v>40</v>
      </c>
      <c r="B156">
        <v>0.6</v>
      </c>
      <c r="C156" t="s">
        <v>42</v>
      </c>
      <c r="D156">
        <v>0.8</v>
      </c>
      <c r="E156" t="s">
        <v>15</v>
      </c>
      <c r="F156">
        <v>15</v>
      </c>
      <c r="G156">
        <v>180</v>
      </c>
      <c r="H156">
        <v>6</v>
      </c>
      <c r="I156">
        <v>330</v>
      </c>
      <c r="J156">
        <v>390</v>
      </c>
      <c r="K156">
        <f t="shared" si="2"/>
        <v>60</v>
      </c>
      <c r="L156">
        <v>2.4900000000000002</v>
      </c>
      <c r="M156">
        <v>4.1042478965729501</v>
      </c>
      <c r="N156">
        <v>3.3291718684977099</v>
      </c>
      <c r="O156">
        <v>0</v>
      </c>
    </row>
    <row r="157" spans="1:15" x14ac:dyDescent="0.25">
      <c r="A157" t="s">
        <v>27</v>
      </c>
      <c r="B157">
        <v>0.2</v>
      </c>
      <c r="C157" t="s">
        <v>43</v>
      </c>
      <c r="D157">
        <v>0.6</v>
      </c>
      <c r="E157" t="s">
        <v>15</v>
      </c>
      <c r="F157">
        <v>15</v>
      </c>
      <c r="G157">
        <v>160</v>
      </c>
      <c r="H157">
        <v>6</v>
      </c>
      <c r="I157">
        <v>290</v>
      </c>
      <c r="J157">
        <v>410</v>
      </c>
      <c r="K157">
        <f t="shared" si="2"/>
        <v>120</v>
      </c>
      <c r="L157">
        <v>10.119999999999999</v>
      </c>
      <c r="M157">
        <v>2.6274303730951099</v>
      </c>
      <c r="N157">
        <v>3.6321811247654199</v>
      </c>
      <c r="O157">
        <v>1</v>
      </c>
    </row>
    <row r="158" spans="1:15" x14ac:dyDescent="0.25">
      <c r="A158" t="s">
        <v>16</v>
      </c>
      <c r="B158">
        <v>0.2</v>
      </c>
      <c r="C158" t="s">
        <v>44</v>
      </c>
      <c r="D158">
        <v>1</v>
      </c>
      <c r="E158" t="s">
        <v>15</v>
      </c>
      <c r="F158">
        <v>15</v>
      </c>
      <c r="G158">
        <v>160</v>
      </c>
      <c r="H158">
        <v>8</v>
      </c>
      <c r="M158">
        <v>1.1101243339254001</v>
      </c>
      <c r="N158">
        <v>13.320900492873299</v>
      </c>
    </row>
    <row r="159" spans="1:15" x14ac:dyDescent="0.25">
      <c r="A159" t="s">
        <v>26</v>
      </c>
      <c r="B159">
        <v>0.2</v>
      </c>
      <c r="C159" t="s">
        <v>23</v>
      </c>
      <c r="D159">
        <v>0.4</v>
      </c>
      <c r="E159" t="s">
        <v>35</v>
      </c>
      <c r="F159">
        <v>15</v>
      </c>
      <c r="G159">
        <v>220</v>
      </c>
      <c r="H159">
        <v>8</v>
      </c>
      <c r="I159">
        <v>350</v>
      </c>
      <c r="J159">
        <v>435</v>
      </c>
      <c r="K159">
        <f t="shared" si="2"/>
        <v>85</v>
      </c>
      <c r="L159">
        <v>32.69</v>
      </c>
      <c r="M159">
        <v>1.44801621778164</v>
      </c>
      <c r="N159">
        <v>2.20811482197074</v>
      </c>
      <c r="O159">
        <v>1</v>
      </c>
    </row>
    <row r="160" spans="1:15" x14ac:dyDescent="0.25">
      <c r="A160" s="5" t="s">
        <v>68</v>
      </c>
      <c r="B160">
        <v>0.6</v>
      </c>
      <c r="C160" s="5" t="s">
        <v>69</v>
      </c>
      <c r="D160">
        <v>0.8</v>
      </c>
      <c r="E160" t="s">
        <v>33</v>
      </c>
      <c r="F160">
        <v>15</v>
      </c>
      <c r="G160">
        <v>200</v>
      </c>
      <c r="H160">
        <v>8</v>
      </c>
      <c r="I160">
        <v>340</v>
      </c>
      <c r="J160">
        <v>550</v>
      </c>
      <c r="K160">
        <f t="shared" si="2"/>
        <v>210</v>
      </c>
      <c r="L160">
        <v>2.36</v>
      </c>
      <c r="M160">
        <v>5.4980298726289796</v>
      </c>
      <c r="N160">
        <v>5.3301352521820196</v>
      </c>
      <c r="O160">
        <v>0</v>
      </c>
    </row>
    <row r="161" spans="1:15" x14ac:dyDescent="0.25">
      <c r="A161" t="s">
        <v>45</v>
      </c>
      <c r="B161">
        <v>0.2</v>
      </c>
      <c r="C161" t="s">
        <v>21</v>
      </c>
      <c r="D161">
        <v>0.4</v>
      </c>
      <c r="E161" t="s">
        <v>39</v>
      </c>
      <c r="F161">
        <v>15</v>
      </c>
      <c r="G161">
        <v>180</v>
      </c>
      <c r="H161">
        <v>8</v>
      </c>
      <c r="I161">
        <v>360</v>
      </c>
      <c r="J161">
        <v>480</v>
      </c>
      <c r="K161">
        <f t="shared" si="2"/>
        <v>120</v>
      </c>
      <c r="L161">
        <v>1.61</v>
      </c>
      <c r="M161">
        <v>2.14799699280421</v>
      </c>
      <c r="N161">
        <v>2.3096021710260399</v>
      </c>
      <c r="O161">
        <v>0</v>
      </c>
    </row>
    <row r="162" spans="1:15" x14ac:dyDescent="0.25">
      <c r="A162" t="s">
        <v>22</v>
      </c>
      <c r="B162">
        <v>0.2</v>
      </c>
      <c r="C162" t="s">
        <v>43</v>
      </c>
      <c r="D162">
        <v>0.4</v>
      </c>
      <c r="E162" t="s">
        <v>33</v>
      </c>
      <c r="F162">
        <v>15</v>
      </c>
      <c r="G162">
        <v>200</v>
      </c>
      <c r="H162">
        <v>4</v>
      </c>
      <c r="I162">
        <v>310</v>
      </c>
      <c r="J162">
        <v>380</v>
      </c>
      <c r="K162">
        <f t="shared" si="2"/>
        <v>70</v>
      </c>
      <c r="L162">
        <v>7.19</v>
      </c>
      <c r="M162">
        <v>1.8494544109487701</v>
      </c>
      <c r="N162">
        <v>2.42145408317695</v>
      </c>
      <c r="O162">
        <v>1</v>
      </c>
    </row>
    <row r="163" spans="1:15" x14ac:dyDescent="0.25">
      <c r="A163" t="s">
        <v>16</v>
      </c>
      <c r="B163">
        <v>0.6</v>
      </c>
      <c r="C163" t="s">
        <v>14</v>
      </c>
      <c r="D163">
        <v>0.6</v>
      </c>
      <c r="E163" t="s">
        <v>33</v>
      </c>
      <c r="F163">
        <v>15</v>
      </c>
      <c r="G163">
        <v>220</v>
      </c>
      <c r="H163">
        <v>8</v>
      </c>
      <c r="I163">
        <v>390</v>
      </c>
      <c r="J163">
        <v>450</v>
      </c>
      <c r="K163">
        <f t="shared" si="2"/>
        <v>60</v>
      </c>
      <c r="L163">
        <v>3.25</v>
      </c>
      <c r="M163">
        <v>3.3303730017761999</v>
      </c>
      <c r="N163">
        <v>3.61162944681876</v>
      </c>
      <c r="O163">
        <v>0</v>
      </c>
    </row>
    <row r="164" spans="1:15" x14ac:dyDescent="0.25">
      <c r="A164" t="s">
        <v>21</v>
      </c>
      <c r="B164">
        <v>0.2</v>
      </c>
      <c r="C164" t="s">
        <v>45</v>
      </c>
      <c r="D164">
        <v>0.8</v>
      </c>
      <c r="E164" t="s">
        <v>18</v>
      </c>
      <c r="F164">
        <v>15</v>
      </c>
      <c r="G164">
        <v>200</v>
      </c>
      <c r="H164">
        <v>6</v>
      </c>
      <c r="I164">
        <v>370</v>
      </c>
      <c r="J164">
        <v>505</v>
      </c>
      <c r="K164">
        <f t="shared" si="2"/>
        <v>135</v>
      </c>
      <c r="L164">
        <v>3.31</v>
      </c>
      <c r="M164">
        <v>1.15480108551302</v>
      </c>
      <c r="N164">
        <v>8.5919879712168399</v>
      </c>
      <c r="O164">
        <v>1</v>
      </c>
    </row>
    <row r="165" spans="1:15" x14ac:dyDescent="0.25">
      <c r="A165" t="s">
        <v>23</v>
      </c>
      <c r="B165">
        <v>0.2</v>
      </c>
      <c r="C165" t="s">
        <v>34</v>
      </c>
      <c r="D165">
        <v>0.6</v>
      </c>
      <c r="E165" t="s">
        <v>33</v>
      </c>
      <c r="F165">
        <v>15</v>
      </c>
      <c r="G165">
        <v>160</v>
      </c>
      <c r="H165">
        <v>8</v>
      </c>
      <c r="I165">
        <v>390</v>
      </c>
      <c r="J165">
        <v>475</v>
      </c>
      <c r="K165">
        <f t="shared" si="2"/>
        <v>85</v>
      </c>
      <c r="L165">
        <v>3.41</v>
      </c>
      <c r="M165">
        <v>1.10405741098537</v>
      </c>
      <c r="N165">
        <v>4.5742166653960501</v>
      </c>
      <c r="O165">
        <v>1</v>
      </c>
    </row>
    <row r="166" spans="1:15" s="6" customFormat="1" x14ac:dyDescent="0.25">
      <c r="A166" s="6" t="s">
        <v>14</v>
      </c>
      <c r="B166" s="6">
        <v>0.6</v>
      </c>
      <c r="C166" s="6" t="s">
        <v>31</v>
      </c>
      <c r="D166" s="6">
        <v>0.8</v>
      </c>
      <c r="E166" s="6" t="s">
        <v>33</v>
      </c>
      <c r="F166" s="6">
        <v>15</v>
      </c>
      <c r="G166" s="6">
        <v>160</v>
      </c>
      <c r="H166" s="6">
        <v>8</v>
      </c>
      <c r="I166" s="6">
        <v>350</v>
      </c>
      <c r="J166" s="6">
        <v>400</v>
      </c>
      <c r="K166">
        <f t="shared" si="2"/>
        <v>50</v>
      </c>
      <c r="L166" s="6">
        <v>0.2</v>
      </c>
      <c r="M166" s="6">
        <v>3.61162944681876</v>
      </c>
      <c r="N166" s="6">
        <v>4.2185192997258003</v>
      </c>
      <c r="O166" s="6">
        <v>0</v>
      </c>
    </row>
    <row r="167" spans="1:15" x14ac:dyDescent="0.25">
      <c r="A167" t="s">
        <v>24</v>
      </c>
      <c r="B167">
        <v>1</v>
      </c>
      <c r="C167" t="s">
        <v>17</v>
      </c>
      <c r="D167">
        <v>1</v>
      </c>
      <c r="E167" t="s">
        <v>35</v>
      </c>
      <c r="F167">
        <v>15</v>
      </c>
      <c r="G167">
        <v>220</v>
      </c>
      <c r="H167">
        <v>6</v>
      </c>
      <c r="I167">
        <v>360</v>
      </c>
      <c r="J167">
        <v>435</v>
      </c>
      <c r="K167">
        <f t="shared" si="2"/>
        <v>75</v>
      </c>
      <c r="L167">
        <v>5.15</v>
      </c>
      <c r="M167">
        <v>9.5156532495955801</v>
      </c>
      <c r="N167">
        <v>5.5190683812572399</v>
      </c>
      <c r="O167">
        <v>1</v>
      </c>
    </row>
    <row r="168" spans="1:15" x14ac:dyDescent="0.25">
      <c r="A168" t="s">
        <v>41</v>
      </c>
      <c r="B168">
        <v>0.2</v>
      </c>
      <c r="C168" t="s">
        <v>44</v>
      </c>
      <c r="D168">
        <v>0.8</v>
      </c>
      <c r="E168" t="s">
        <v>15</v>
      </c>
      <c r="F168">
        <v>15</v>
      </c>
      <c r="G168">
        <v>200</v>
      </c>
      <c r="H168">
        <v>4</v>
      </c>
      <c r="I168">
        <v>340</v>
      </c>
      <c r="J168">
        <v>425</v>
      </c>
      <c r="K168">
        <f t="shared" si="2"/>
        <v>85</v>
      </c>
      <c r="L168">
        <v>3.78</v>
      </c>
      <c r="M168">
        <v>1.6507098052162399</v>
      </c>
      <c r="N168">
        <v>10.6567203942987</v>
      </c>
      <c r="O168">
        <v>1</v>
      </c>
    </row>
    <row r="169" spans="1:15" x14ac:dyDescent="0.25">
      <c r="A169" s="5" t="s">
        <v>59</v>
      </c>
      <c r="B169">
        <v>1</v>
      </c>
      <c r="C169" t="s">
        <v>44</v>
      </c>
      <c r="D169">
        <v>0.2</v>
      </c>
      <c r="E169" t="s">
        <v>39</v>
      </c>
      <c r="F169">
        <v>15</v>
      </c>
      <c r="G169">
        <v>160</v>
      </c>
      <c r="H169">
        <v>8</v>
      </c>
      <c r="I169">
        <v>390</v>
      </c>
      <c r="J169">
        <v>490</v>
      </c>
      <c r="K169">
        <f t="shared" si="2"/>
        <v>100</v>
      </c>
      <c r="L169">
        <v>5.95</v>
      </c>
      <c r="M169">
        <v>9.5156532495955801</v>
      </c>
      <c r="N169">
        <v>2.66418009857466</v>
      </c>
      <c r="O169">
        <v>1</v>
      </c>
    </row>
    <row r="170" spans="1:15" x14ac:dyDescent="0.25">
      <c r="A170" t="s">
        <v>25</v>
      </c>
      <c r="B170">
        <v>0.4</v>
      </c>
      <c r="C170" t="s">
        <v>31</v>
      </c>
      <c r="D170">
        <v>0.6</v>
      </c>
      <c r="E170" t="s">
        <v>39</v>
      </c>
      <c r="F170">
        <v>15</v>
      </c>
      <c r="G170">
        <v>220</v>
      </c>
      <c r="H170">
        <v>8</v>
      </c>
      <c r="I170">
        <v>320</v>
      </c>
      <c r="J170">
        <v>505</v>
      </c>
      <c r="K170">
        <f t="shared" si="2"/>
        <v>185</v>
      </c>
      <c r="L170">
        <v>3.93</v>
      </c>
      <c r="M170">
        <v>3.1715826197272401</v>
      </c>
      <c r="N170">
        <v>3.1638894747943498</v>
      </c>
      <c r="O170">
        <v>0</v>
      </c>
    </row>
    <row r="171" spans="1:15" s="6" customFormat="1" x14ac:dyDescent="0.25">
      <c r="A171" s="6" t="s">
        <v>43</v>
      </c>
      <c r="B171" s="6">
        <v>0.6</v>
      </c>
      <c r="C171" s="6" t="s">
        <v>19</v>
      </c>
      <c r="D171" s="6">
        <v>0.8</v>
      </c>
      <c r="E171" s="6" t="s">
        <v>15</v>
      </c>
      <c r="F171" s="6">
        <v>15</v>
      </c>
      <c r="G171" s="6">
        <v>180</v>
      </c>
      <c r="H171" s="6">
        <v>6</v>
      </c>
      <c r="I171" s="6">
        <v>270</v>
      </c>
      <c r="J171" s="6">
        <v>350</v>
      </c>
      <c r="K171">
        <f t="shared" si="2"/>
        <v>80</v>
      </c>
      <c r="L171" s="6">
        <v>0.78</v>
      </c>
      <c r="M171" s="6">
        <v>3.6321811247654199</v>
      </c>
      <c r="N171" s="6">
        <v>13.320900492873299</v>
      </c>
      <c r="O171" s="6">
        <v>0</v>
      </c>
    </row>
    <row r="172" spans="1:15" x14ac:dyDescent="0.25">
      <c r="A172" t="s">
        <v>20</v>
      </c>
      <c r="B172">
        <v>0.4</v>
      </c>
      <c r="C172" t="s">
        <v>41</v>
      </c>
      <c r="D172">
        <v>1</v>
      </c>
      <c r="E172" t="s">
        <v>33</v>
      </c>
      <c r="F172">
        <v>15</v>
      </c>
      <c r="G172">
        <v>200</v>
      </c>
      <c r="H172">
        <v>6</v>
      </c>
      <c r="I172">
        <v>360</v>
      </c>
      <c r="J172">
        <v>455</v>
      </c>
      <c r="K172">
        <f t="shared" si="2"/>
        <v>95</v>
      </c>
      <c r="L172">
        <v>25.5</v>
      </c>
      <c r="M172">
        <v>3.6989088218975401</v>
      </c>
      <c r="N172">
        <v>8.2535490260812203</v>
      </c>
      <c r="O172">
        <v>1</v>
      </c>
    </row>
    <row r="173" spans="1:15" x14ac:dyDescent="0.25">
      <c r="A173" t="s">
        <v>13</v>
      </c>
      <c r="B173">
        <v>0.2</v>
      </c>
      <c r="C173" t="s">
        <v>17</v>
      </c>
      <c r="D173">
        <v>0.2</v>
      </c>
      <c r="E173" t="s">
        <v>33</v>
      </c>
      <c r="F173">
        <v>15</v>
      </c>
      <c r="G173">
        <v>180</v>
      </c>
      <c r="H173">
        <v>8</v>
      </c>
      <c r="I173">
        <v>310</v>
      </c>
      <c r="J173">
        <v>360</v>
      </c>
      <c r="K173">
        <f t="shared" si="2"/>
        <v>50</v>
      </c>
      <c r="L173">
        <v>4.99</v>
      </c>
      <c r="M173">
        <v>1.34039273507138</v>
      </c>
      <c r="N173">
        <v>1.1038136762514501</v>
      </c>
      <c r="O173">
        <v>0</v>
      </c>
    </row>
    <row r="174" spans="1:15" x14ac:dyDescent="0.25">
      <c r="A174" t="s">
        <v>34</v>
      </c>
      <c r="B174">
        <v>0.2</v>
      </c>
      <c r="C174" t="s">
        <v>24</v>
      </c>
      <c r="D174">
        <v>0.8</v>
      </c>
      <c r="E174" t="s">
        <v>15</v>
      </c>
      <c r="F174">
        <v>15</v>
      </c>
      <c r="G174">
        <v>160</v>
      </c>
      <c r="H174">
        <v>6</v>
      </c>
      <c r="I174">
        <v>340</v>
      </c>
      <c r="J174">
        <v>435</v>
      </c>
      <c r="K174">
        <f t="shared" si="2"/>
        <v>95</v>
      </c>
      <c r="L174">
        <v>5.23</v>
      </c>
      <c r="M174">
        <v>1.5247388884653501</v>
      </c>
      <c r="N174">
        <v>7.6125225996764696</v>
      </c>
      <c r="O174">
        <v>1</v>
      </c>
    </row>
    <row r="175" spans="1:15" s="6" customFormat="1" x14ac:dyDescent="0.25">
      <c r="A175" s="6" t="s">
        <v>36</v>
      </c>
      <c r="B175" s="6">
        <v>0.4</v>
      </c>
      <c r="C175" s="6" t="s">
        <v>26</v>
      </c>
      <c r="D175" s="6">
        <v>0.4</v>
      </c>
      <c r="E175" s="6" t="s">
        <v>39</v>
      </c>
      <c r="F175" s="6">
        <v>15</v>
      </c>
      <c r="G175" s="6">
        <v>180</v>
      </c>
      <c r="H175" s="6">
        <v>6</v>
      </c>
      <c r="I175" s="6">
        <v>310</v>
      </c>
      <c r="J175" s="6">
        <v>395</v>
      </c>
      <c r="K175">
        <f t="shared" si="2"/>
        <v>85</v>
      </c>
      <c r="L175" s="6">
        <v>0.7</v>
      </c>
      <c r="M175" s="6">
        <v>3.35795836131632</v>
      </c>
      <c r="N175" s="6">
        <v>2.89603243556328</v>
      </c>
      <c r="O175" s="6">
        <v>0</v>
      </c>
    </row>
    <row r="176" spans="1:15" x14ac:dyDescent="0.25">
      <c r="A176" t="s">
        <v>27</v>
      </c>
      <c r="B176">
        <v>0.4</v>
      </c>
      <c r="C176" t="s">
        <v>31</v>
      </c>
      <c r="D176">
        <v>0.6</v>
      </c>
      <c r="E176" t="s">
        <v>35</v>
      </c>
      <c r="F176">
        <v>15</v>
      </c>
      <c r="G176">
        <v>200</v>
      </c>
      <c r="H176">
        <v>6</v>
      </c>
      <c r="I176">
        <v>360</v>
      </c>
      <c r="J176">
        <v>430</v>
      </c>
      <c r="K176">
        <f t="shared" si="2"/>
        <v>70</v>
      </c>
      <c r="L176">
        <v>1.67</v>
      </c>
      <c r="M176">
        <v>5.2548607461902304</v>
      </c>
      <c r="N176">
        <v>3.1638894747943498</v>
      </c>
      <c r="O176">
        <v>0</v>
      </c>
    </row>
    <row r="177" spans="1:15" x14ac:dyDescent="0.25">
      <c r="A177" s="5" t="s">
        <v>51</v>
      </c>
      <c r="B177">
        <v>0.2</v>
      </c>
      <c r="C177" t="s">
        <v>25</v>
      </c>
      <c r="D177">
        <v>0.6</v>
      </c>
      <c r="E177" t="s">
        <v>15</v>
      </c>
      <c r="F177">
        <v>15</v>
      </c>
      <c r="G177">
        <v>160</v>
      </c>
      <c r="H177">
        <v>4</v>
      </c>
      <c r="I177">
        <v>320</v>
      </c>
      <c r="J177">
        <v>425</v>
      </c>
      <c r="K177">
        <f t="shared" si="2"/>
        <v>105</v>
      </c>
      <c r="L177">
        <v>16.600000000000001</v>
      </c>
      <c r="M177">
        <v>1.8494544109487701</v>
      </c>
      <c r="N177">
        <v>4.7573739295908704</v>
      </c>
      <c r="O177">
        <v>1</v>
      </c>
    </row>
    <row r="178" spans="1:15" x14ac:dyDescent="0.25">
      <c r="A178" t="s">
        <v>31</v>
      </c>
      <c r="B178">
        <v>0.8</v>
      </c>
      <c r="C178" t="s">
        <v>31</v>
      </c>
      <c r="D178">
        <v>1</v>
      </c>
      <c r="E178" t="s">
        <v>33</v>
      </c>
      <c r="F178">
        <v>15</v>
      </c>
      <c r="G178">
        <v>180</v>
      </c>
      <c r="H178">
        <v>4</v>
      </c>
      <c r="I178">
        <v>0</v>
      </c>
      <c r="J178">
        <v>0</v>
      </c>
      <c r="K178">
        <f t="shared" si="2"/>
        <v>0</v>
      </c>
      <c r="L178">
        <v>0</v>
      </c>
      <c r="M178">
        <v>4.2185192997258003</v>
      </c>
      <c r="N178">
        <v>5.2731491246572499</v>
      </c>
      <c r="O178">
        <v>0</v>
      </c>
    </row>
    <row r="179" spans="1:15" x14ac:dyDescent="0.25">
      <c r="A179" t="s">
        <v>42</v>
      </c>
      <c r="B179">
        <v>0.8</v>
      </c>
      <c r="C179" t="s">
        <v>36</v>
      </c>
      <c r="D179">
        <v>0.6</v>
      </c>
      <c r="E179" t="s">
        <v>15</v>
      </c>
      <c r="F179">
        <v>15</v>
      </c>
      <c r="G179">
        <v>220</v>
      </c>
      <c r="H179">
        <v>4</v>
      </c>
      <c r="I179">
        <v>340</v>
      </c>
      <c r="J179">
        <v>420</v>
      </c>
      <c r="K179">
        <f t="shared" si="2"/>
        <v>80</v>
      </c>
      <c r="L179">
        <v>7.11</v>
      </c>
      <c r="M179">
        <v>3.3291718684977099</v>
      </c>
      <c r="N179">
        <v>5.0369375419744804</v>
      </c>
      <c r="O179">
        <v>1</v>
      </c>
    </row>
    <row r="180" spans="1:15" x14ac:dyDescent="0.25">
      <c r="A180" s="5" t="s">
        <v>60</v>
      </c>
      <c r="B180">
        <v>0.8</v>
      </c>
      <c r="C180" t="s">
        <v>27</v>
      </c>
      <c r="D180">
        <v>1</v>
      </c>
      <c r="E180" t="s">
        <v>35</v>
      </c>
      <c r="F180">
        <v>15</v>
      </c>
      <c r="G180">
        <v>160</v>
      </c>
      <c r="H180">
        <v>4</v>
      </c>
      <c r="I180">
        <v>350</v>
      </c>
      <c r="J180">
        <v>405</v>
      </c>
      <c r="K180">
        <f t="shared" si="2"/>
        <v>55</v>
      </c>
      <c r="L180">
        <v>26.24</v>
      </c>
      <c r="M180">
        <v>5.7920648711265601</v>
      </c>
      <c r="N180">
        <v>13.1371518654756</v>
      </c>
      <c r="O180">
        <v>1</v>
      </c>
    </row>
    <row r="181" spans="1:15" x14ac:dyDescent="0.25">
      <c r="A181" t="s">
        <v>29</v>
      </c>
      <c r="B181">
        <v>0.4</v>
      </c>
      <c r="C181" t="s">
        <v>45</v>
      </c>
      <c r="D181">
        <v>0.2</v>
      </c>
      <c r="E181" t="s">
        <v>39</v>
      </c>
      <c r="F181">
        <v>15</v>
      </c>
      <c r="G181">
        <v>160</v>
      </c>
      <c r="H181">
        <v>6</v>
      </c>
      <c r="I181">
        <v>290</v>
      </c>
      <c r="J181">
        <v>325</v>
      </c>
      <c r="K181">
        <f t="shared" si="2"/>
        <v>35</v>
      </c>
      <c r="L181">
        <v>2.57</v>
      </c>
      <c r="M181">
        <v>3.6653532484193199</v>
      </c>
      <c r="N181">
        <v>2.14799699280421</v>
      </c>
      <c r="O181">
        <v>0</v>
      </c>
    </row>
    <row r="182" spans="1:15" x14ac:dyDescent="0.25">
      <c r="A182" t="s">
        <v>23</v>
      </c>
      <c r="B182">
        <v>1</v>
      </c>
      <c r="C182" s="5" t="s">
        <v>61</v>
      </c>
      <c r="D182">
        <v>0.8</v>
      </c>
      <c r="E182" t="s">
        <v>18</v>
      </c>
      <c r="F182">
        <v>15</v>
      </c>
      <c r="G182">
        <v>160</v>
      </c>
      <c r="H182">
        <v>8</v>
      </c>
      <c r="I182">
        <v>400</v>
      </c>
      <c r="J182">
        <v>440</v>
      </c>
      <c r="K182">
        <f t="shared" si="2"/>
        <v>40</v>
      </c>
      <c r="L182">
        <v>56.26</v>
      </c>
      <c r="M182">
        <v>5.5202870549268601</v>
      </c>
      <c r="N182">
        <v>7.3978176437950802</v>
      </c>
      <c r="O182">
        <v>1</v>
      </c>
    </row>
    <row r="183" spans="1:15" x14ac:dyDescent="0.25">
      <c r="A183" t="s">
        <v>32</v>
      </c>
      <c r="B183">
        <v>1</v>
      </c>
      <c r="C183" t="s">
        <v>16</v>
      </c>
      <c r="D183">
        <v>0.2</v>
      </c>
      <c r="E183" t="s">
        <v>35</v>
      </c>
      <c r="F183">
        <v>15</v>
      </c>
      <c r="G183">
        <v>160</v>
      </c>
      <c r="H183">
        <v>4</v>
      </c>
      <c r="I183">
        <v>410</v>
      </c>
      <c r="J183">
        <v>525</v>
      </c>
      <c r="K183">
        <f t="shared" si="2"/>
        <v>115</v>
      </c>
      <c r="L183">
        <v>1.8</v>
      </c>
      <c r="M183">
        <v>6.6626690652275302</v>
      </c>
      <c r="N183">
        <v>1.1101243339254001</v>
      </c>
      <c r="O183">
        <v>0</v>
      </c>
    </row>
    <row r="184" spans="1:15" x14ac:dyDescent="0.25">
      <c r="A184" t="s">
        <v>20</v>
      </c>
      <c r="B184">
        <v>0.2</v>
      </c>
      <c r="C184" s="5" t="s">
        <v>52</v>
      </c>
      <c r="D184">
        <v>1</v>
      </c>
      <c r="E184" t="s">
        <v>35</v>
      </c>
      <c r="F184">
        <v>15</v>
      </c>
      <c r="G184">
        <v>160</v>
      </c>
      <c r="H184">
        <v>8</v>
      </c>
      <c r="I184">
        <v>320</v>
      </c>
      <c r="J184">
        <v>435</v>
      </c>
      <c r="K184">
        <f t="shared" si="2"/>
        <v>115</v>
      </c>
      <c r="L184">
        <v>40.880000000000003</v>
      </c>
      <c r="M184">
        <v>1.8494544109487701</v>
      </c>
      <c r="N184">
        <v>5.5202870549268601</v>
      </c>
      <c r="O184">
        <v>1</v>
      </c>
    </row>
    <row r="185" spans="1:15" x14ac:dyDescent="0.25">
      <c r="A185" t="s">
        <v>44</v>
      </c>
      <c r="B185">
        <v>0.8</v>
      </c>
      <c r="C185" t="s">
        <v>25</v>
      </c>
      <c r="D185">
        <v>0.4</v>
      </c>
      <c r="E185" t="s">
        <v>18</v>
      </c>
      <c r="F185">
        <v>15</v>
      </c>
      <c r="G185">
        <v>200</v>
      </c>
      <c r="H185">
        <v>6</v>
      </c>
      <c r="I185">
        <v>370</v>
      </c>
      <c r="J185">
        <v>445</v>
      </c>
      <c r="K185">
        <f t="shared" si="2"/>
        <v>75</v>
      </c>
      <c r="L185">
        <v>11.83</v>
      </c>
      <c r="M185">
        <v>10.6567203942987</v>
      </c>
      <c r="N185">
        <v>3.1715826197272401</v>
      </c>
      <c r="O185">
        <v>1</v>
      </c>
    </row>
    <row r="186" spans="1:15" x14ac:dyDescent="0.25">
      <c r="A186" s="5" t="s">
        <v>55</v>
      </c>
      <c r="B186">
        <v>0.6</v>
      </c>
      <c r="C186" t="s">
        <v>20</v>
      </c>
      <c r="D186">
        <v>1</v>
      </c>
      <c r="E186" t="s">
        <v>35</v>
      </c>
      <c r="F186">
        <v>15</v>
      </c>
      <c r="G186">
        <v>180</v>
      </c>
      <c r="H186">
        <v>8</v>
      </c>
      <c r="I186">
        <v>430</v>
      </c>
      <c r="J186">
        <v>545</v>
      </c>
      <c r="K186">
        <f t="shared" si="2"/>
        <v>115</v>
      </c>
      <c r="L186">
        <v>15.82</v>
      </c>
      <c r="M186">
        <v>3.464</v>
      </c>
      <c r="N186">
        <v>9.2472720547438492</v>
      </c>
      <c r="O186">
        <v>1</v>
      </c>
    </row>
    <row r="187" spans="1:15" x14ac:dyDescent="0.25">
      <c r="A187" t="s">
        <v>17</v>
      </c>
      <c r="B187">
        <v>0.2</v>
      </c>
      <c r="C187" t="s">
        <v>42</v>
      </c>
      <c r="D187">
        <v>0.6</v>
      </c>
      <c r="E187" t="s">
        <v>15</v>
      </c>
      <c r="F187">
        <v>15</v>
      </c>
      <c r="G187">
        <v>160</v>
      </c>
      <c r="H187">
        <v>4</v>
      </c>
      <c r="I187">
        <v>320</v>
      </c>
      <c r="J187">
        <v>405</v>
      </c>
      <c r="K187">
        <f t="shared" si="2"/>
        <v>85</v>
      </c>
      <c r="L187">
        <v>1.6</v>
      </c>
      <c r="M187">
        <v>1.1038136762514501</v>
      </c>
      <c r="N187">
        <v>2.4968789013732802</v>
      </c>
      <c r="O187">
        <v>0</v>
      </c>
    </row>
    <row r="188" spans="1:15" x14ac:dyDescent="0.25">
      <c r="A188" t="s">
        <v>43</v>
      </c>
      <c r="B188">
        <v>0.8</v>
      </c>
      <c r="C188" s="5" t="s">
        <v>56</v>
      </c>
      <c r="D188">
        <v>0.8</v>
      </c>
      <c r="E188" t="s">
        <v>35</v>
      </c>
      <c r="F188">
        <v>15</v>
      </c>
      <c r="G188">
        <v>220</v>
      </c>
      <c r="H188">
        <v>4</v>
      </c>
      <c r="I188">
        <v>380</v>
      </c>
      <c r="J188">
        <v>470</v>
      </c>
      <c r="K188">
        <f t="shared" si="2"/>
        <v>90</v>
      </c>
      <c r="L188">
        <v>35.74</v>
      </c>
      <c r="M188">
        <v>4.8429081663539</v>
      </c>
      <c r="N188">
        <v>4.81550592909168</v>
      </c>
      <c r="O188">
        <v>1</v>
      </c>
    </row>
    <row r="189" spans="1:15" x14ac:dyDescent="0.25">
      <c r="A189" t="s">
        <v>27</v>
      </c>
      <c r="B189">
        <v>0.6</v>
      </c>
      <c r="C189" t="s">
        <v>23</v>
      </c>
      <c r="D189">
        <v>0.8</v>
      </c>
      <c r="E189" t="s">
        <v>35</v>
      </c>
      <c r="F189">
        <v>15</v>
      </c>
      <c r="G189">
        <v>160</v>
      </c>
      <c r="H189">
        <v>4</v>
      </c>
      <c r="I189">
        <v>310</v>
      </c>
      <c r="J189">
        <v>435</v>
      </c>
      <c r="K189">
        <f t="shared" si="2"/>
        <v>125</v>
      </c>
      <c r="L189">
        <v>18.12</v>
      </c>
      <c r="M189">
        <v>7.8822911192853402</v>
      </c>
      <c r="N189">
        <v>4.4162296439414899</v>
      </c>
      <c r="O189">
        <v>1</v>
      </c>
    </row>
    <row r="190" spans="1:15" x14ac:dyDescent="0.25">
      <c r="A190" t="s">
        <v>26</v>
      </c>
      <c r="B190">
        <v>0.2</v>
      </c>
      <c r="C190" t="s">
        <v>16</v>
      </c>
      <c r="D190">
        <v>0.2</v>
      </c>
      <c r="E190" t="s">
        <v>15</v>
      </c>
      <c r="F190">
        <v>15</v>
      </c>
      <c r="G190">
        <v>200</v>
      </c>
      <c r="H190">
        <v>8</v>
      </c>
      <c r="I190">
        <v>340</v>
      </c>
      <c r="J190">
        <v>435</v>
      </c>
      <c r="K190">
        <f t="shared" si="2"/>
        <v>95</v>
      </c>
      <c r="L190">
        <v>2.04</v>
      </c>
      <c r="M190">
        <v>1.44801621778164</v>
      </c>
      <c r="N190">
        <v>1.1101243339254001</v>
      </c>
      <c r="O190">
        <v>0</v>
      </c>
    </row>
    <row r="191" spans="1:15" x14ac:dyDescent="0.25">
      <c r="A191" t="s">
        <v>40</v>
      </c>
      <c r="B191">
        <v>1</v>
      </c>
      <c r="C191" t="s">
        <v>38</v>
      </c>
      <c r="D191">
        <v>0.6</v>
      </c>
      <c r="E191" t="s">
        <v>35</v>
      </c>
      <c r="F191">
        <v>15</v>
      </c>
      <c r="G191">
        <v>200</v>
      </c>
      <c r="H191">
        <v>8</v>
      </c>
      <c r="I191">
        <v>370</v>
      </c>
      <c r="J191">
        <v>450</v>
      </c>
      <c r="K191">
        <f t="shared" si="2"/>
        <v>80</v>
      </c>
      <c r="L191">
        <v>19.64</v>
      </c>
      <c r="M191">
        <v>6.8404131609549204</v>
      </c>
      <c r="N191">
        <v>5.5483632328463104</v>
      </c>
      <c r="O191">
        <v>1</v>
      </c>
    </row>
    <row r="192" spans="1:15" x14ac:dyDescent="0.25">
      <c r="A192" t="s">
        <v>19</v>
      </c>
      <c r="B192">
        <v>0.8</v>
      </c>
      <c r="C192" s="5" t="s">
        <v>71</v>
      </c>
      <c r="D192">
        <v>0.6</v>
      </c>
      <c r="E192" t="s">
        <v>18</v>
      </c>
      <c r="F192">
        <v>15</v>
      </c>
      <c r="G192">
        <v>220</v>
      </c>
      <c r="H192">
        <v>8</v>
      </c>
      <c r="I192">
        <v>350</v>
      </c>
      <c r="J192">
        <v>430</v>
      </c>
      <c r="K192">
        <f t="shared" si="2"/>
        <v>80</v>
      </c>
      <c r="L192">
        <v>3.39</v>
      </c>
      <c r="M192">
        <v>13.320900492873299</v>
      </c>
      <c r="N192">
        <v>6.4439909784126304</v>
      </c>
      <c r="O192">
        <v>0</v>
      </c>
    </row>
    <row r="193" spans="1:15" x14ac:dyDescent="0.25">
      <c r="A193" t="s">
        <v>36</v>
      </c>
      <c r="B193">
        <v>0.2</v>
      </c>
      <c r="C193" t="s">
        <v>16</v>
      </c>
      <c r="D193">
        <v>0.2</v>
      </c>
      <c r="E193" t="s">
        <v>33</v>
      </c>
      <c r="F193">
        <v>15</v>
      </c>
      <c r="G193">
        <v>160</v>
      </c>
      <c r="H193">
        <v>4</v>
      </c>
      <c r="I193">
        <v>390</v>
      </c>
      <c r="J193">
        <v>605</v>
      </c>
      <c r="K193">
        <f t="shared" si="2"/>
        <v>215</v>
      </c>
      <c r="L193">
        <v>2.91</v>
      </c>
      <c r="M193">
        <v>1.67897918065816</v>
      </c>
      <c r="N193">
        <v>1.1101243339254001</v>
      </c>
      <c r="O193">
        <v>0</v>
      </c>
    </row>
    <row r="194" spans="1:15" x14ac:dyDescent="0.25">
      <c r="A194" s="5" t="s">
        <v>53</v>
      </c>
      <c r="B194">
        <v>0.8</v>
      </c>
      <c r="C194" t="s">
        <v>27</v>
      </c>
      <c r="D194">
        <v>0.4</v>
      </c>
      <c r="E194" t="s">
        <v>39</v>
      </c>
      <c r="F194">
        <v>15</v>
      </c>
      <c r="G194">
        <v>220</v>
      </c>
      <c r="H194">
        <v>8</v>
      </c>
      <c r="I194">
        <v>340</v>
      </c>
      <c r="J194">
        <v>430</v>
      </c>
      <c r="K194">
        <f t="shared" si="2"/>
        <v>90</v>
      </c>
      <c r="L194">
        <v>3.44</v>
      </c>
      <c r="M194">
        <v>3.3291718684977099</v>
      </c>
      <c r="N194">
        <v>5.2548607461902304</v>
      </c>
      <c r="O194">
        <v>0</v>
      </c>
    </row>
    <row r="195" spans="1:15" x14ac:dyDescent="0.25">
      <c r="A195" s="5" t="s">
        <v>50</v>
      </c>
      <c r="B195">
        <v>0.2</v>
      </c>
      <c r="C195" t="s">
        <v>14</v>
      </c>
      <c r="D195">
        <v>1</v>
      </c>
      <c r="E195" t="s">
        <v>18</v>
      </c>
      <c r="F195">
        <v>15</v>
      </c>
      <c r="G195">
        <v>160</v>
      </c>
      <c r="H195">
        <v>4</v>
      </c>
      <c r="I195">
        <v>310</v>
      </c>
      <c r="J195">
        <v>340</v>
      </c>
      <c r="K195">
        <f t="shared" ref="K195:K228" si="3">J195-I195</f>
        <v>30</v>
      </c>
      <c r="L195">
        <v>6.94</v>
      </c>
      <c r="M195">
        <v>1.58579130986362</v>
      </c>
      <c r="N195">
        <v>6.0193824113645897</v>
      </c>
      <c r="O195">
        <v>1</v>
      </c>
    </row>
    <row r="196" spans="1:15" x14ac:dyDescent="0.25">
      <c r="A196" s="5" t="s">
        <v>70</v>
      </c>
      <c r="B196">
        <v>0.6</v>
      </c>
      <c r="C196" s="5" t="s">
        <v>70</v>
      </c>
      <c r="D196">
        <v>0.8</v>
      </c>
      <c r="E196" t="s">
        <v>15</v>
      </c>
      <c r="F196">
        <v>15</v>
      </c>
      <c r="G196">
        <v>200</v>
      </c>
      <c r="H196">
        <v>6</v>
      </c>
      <c r="I196">
        <v>420</v>
      </c>
      <c r="J196">
        <v>585</v>
      </c>
      <c r="K196">
        <f t="shared" si="3"/>
        <v>165</v>
      </c>
      <c r="L196">
        <v>3.09</v>
      </c>
      <c r="M196">
        <v>5.5483632328463104</v>
      </c>
      <c r="N196">
        <v>7.3978176437950802</v>
      </c>
      <c r="O196">
        <v>0</v>
      </c>
    </row>
    <row r="197" spans="1:15" x14ac:dyDescent="0.25">
      <c r="A197" t="s">
        <v>20</v>
      </c>
      <c r="B197">
        <v>0.8</v>
      </c>
      <c r="C197" t="s">
        <v>17</v>
      </c>
      <c r="D197">
        <v>1</v>
      </c>
      <c r="E197" t="s">
        <v>18</v>
      </c>
      <c r="F197">
        <v>15</v>
      </c>
      <c r="G197">
        <v>200</v>
      </c>
      <c r="H197">
        <v>8</v>
      </c>
      <c r="I197">
        <v>430</v>
      </c>
      <c r="J197">
        <v>545</v>
      </c>
      <c r="K197">
        <f t="shared" si="3"/>
        <v>115</v>
      </c>
      <c r="L197">
        <v>8.93</v>
      </c>
      <c r="M197">
        <v>7.3978176437950802</v>
      </c>
      <c r="N197">
        <v>5.5190683812572399</v>
      </c>
      <c r="O197">
        <v>1</v>
      </c>
    </row>
    <row r="198" spans="1:15" x14ac:dyDescent="0.25">
      <c r="A198" t="s">
        <v>23</v>
      </c>
      <c r="B198">
        <v>1</v>
      </c>
      <c r="C198" t="s">
        <v>27</v>
      </c>
      <c r="D198">
        <v>0.6</v>
      </c>
      <c r="E198" t="s">
        <v>33</v>
      </c>
      <c r="F198">
        <v>15</v>
      </c>
      <c r="G198">
        <v>220</v>
      </c>
      <c r="H198">
        <v>6</v>
      </c>
      <c r="I198">
        <v>330</v>
      </c>
      <c r="J198">
        <v>390</v>
      </c>
      <c r="K198">
        <f t="shared" si="3"/>
        <v>60</v>
      </c>
      <c r="L198">
        <v>2.67</v>
      </c>
      <c r="M198">
        <v>5.5202870549268601</v>
      </c>
      <c r="N198">
        <v>7.8822911192853402</v>
      </c>
      <c r="O198">
        <v>0</v>
      </c>
    </row>
    <row r="199" spans="1:15" x14ac:dyDescent="0.25">
      <c r="A199" s="5" t="s">
        <v>53</v>
      </c>
      <c r="B199">
        <v>0.8</v>
      </c>
      <c r="C199" t="s">
        <v>20</v>
      </c>
      <c r="D199">
        <v>1</v>
      </c>
      <c r="E199" t="s">
        <v>35</v>
      </c>
      <c r="F199">
        <v>15</v>
      </c>
      <c r="G199">
        <v>220</v>
      </c>
      <c r="H199">
        <v>4</v>
      </c>
      <c r="I199">
        <v>380</v>
      </c>
      <c r="J199">
        <v>545</v>
      </c>
      <c r="K199">
        <f t="shared" si="3"/>
        <v>165</v>
      </c>
      <c r="L199">
        <v>23.46</v>
      </c>
      <c r="M199">
        <v>3.3291718684977099</v>
      </c>
      <c r="N199">
        <v>9.2472720547438492</v>
      </c>
      <c r="O199">
        <v>1</v>
      </c>
    </row>
    <row r="200" spans="1:15" x14ac:dyDescent="0.25">
      <c r="A200" t="s">
        <v>14</v>
      </c>
      <c r="B200">
        <v>1</v>
      </c>
      <c r="C200" s="5" t="s">
        <v>58</v>
      </c>
      <c r="D200">
        <v>0.8</v>
      </c>
      <c r="E200" t="s">
        <v>15</v>
      </c>
      <c r="F200">
        <v>15</v>
      </c>
      <c r="G200">
        <v>180</v>
      </c>
      <c r="H200">
        <v>4</v>
      </c>
      <c r="I200">
        <v>310</v>
      </c>
      <c r="J200">
        <v>425</v>
      </c>
      <c r="K200">
        <f t="shared" si="3"/>
        <v>115</v>
      </c>
      <c r="L200">
        <v>2.4</v>
      </c>
      <c r="M200">
        <v>6.0193824113645897</v>
      </c>
      <c r="N200">
        <v>6.6028392208649702</v>
      </c>
      <c r="O200">
        <v>0</v>
      </c>
    </row>
    <row r="201" spans="1:15" x14ac:dyDescent="0.25">
      <c r="A201" t="s">
        <v>26</v>
      </c>
      <c r="B201">
        <v>1</v>
      </c>
      <c r="C201" t="s">
        <v>30</v>
      </c>
      <c r="D201">
        <v>0.2</v>
      </c>
      <c r="E201" t="s">
        <v>15</v>
      </c>
      <c r="F201">
        <v>15</v>
      </c>
      <c r="G201">
        <v>200</v>
      </c>
      <c r="H201">
        <v>6</v>
      </c>
      <c r="I201">
        <v>330</v>
      </c>
      <c r="J201">
        <v>405</v>
      </c>
      <c r="K201">
        <f t="shared" si="3"/>
        <v>75</v>
      </c>
      <c r="L201">
        <v>23.65</v>
      </c>
      <c r="M201">
        <v>7.2400810889081901</v>
      </c>
      <c r="N201">
        <v>3.2743942370661401</v>
      </c>
      <c r="O201">
        <v>1</v>
      </c>
    </row>
    <row r="202" spans="1:15" x14ac:dyDescent="0.25">
      <c r="A202" t="s">
        <v>20</v>
      </c>
      <c r="B202">
        <v>1</v>
      </c>
      <c r="C202" t="s">
        <v>17</v>
      </c>
      <c r="D202">
        <v>0.4</v>
      </c>
      <c r="E202" t="s">
        <v>33</v>
      </c>
      <c r="F202">
        <v>15</v>
      </c>
      <c r="G202">
        <v>160</v>
      </c>
      <c r="H202">
        <v>4</v>
      </c>
      <c r="I202">
        <v>560</v>
      </c>
      <c r="J202">
        <v>620</v>
      </c>
      <c r="K202">
        <f t="shared" si="3"/>
        <v>60</v>
      </c>
      <c r="L202">
        <v>17.100000000000001</v>
      </c>
      <c r="M202">
        <v>9.2472720547438492</v>
      </c>
      <c r="N202">
        <v>2.2076273525029002</v>
      </c>
      <c r="O202">
        <v>1</v>
      </c>
    </row>
    <row r="203" spans="1:15" x14ac:dyDescent="0.25">
      <c r="A203" t="s">
        <v>20</v>
      </c>
      <c r="B203">
        <v>0.4</v>
      </c>
      <c r="C203" t="s">
        <v>17</v>
      </c>
      <c r="D203">
        <v>1</v>
      </c>
      <c r="E203" t="s">
        <v>15</v>
      </c>
      <c r="F203">
        <v>15</v>
      </c>
      <c r="G203">
        <v>180</v>
      </c>
      <c r="H203">
        <v>8</v>
      </c>
      <c r="I203">
        <v>420</v>
      </c>
      <c r="J203">
        <v>580</v>
      </c>
      <c r="K203">
        <f t="shared" si="3"/>
        <v>160</v>
      </c>
      <c r="L203">
        <v>2.63</v>
      </c>
      <c r="M203">
        <v>3.6989088218975401</v>
      </c>
      <c r="N203">
        <v>5.5190683812572399</v>
      </c>
      <c r="O203">
        <v>0</v>
      </c>
    </row>
    <row r="204" spans="1:15" x14ac:dyDescent="0.25">
      <c r="A204" t="s">
        <v>37</v>
      </c>
      <c r="B204">
        <v>0.6</v>
      </c>
      <c r="C204" s="5" t="s">
        <v>63</v>
      </c>
      <c r="D204">
        <v>0.5</v>
      </c>
      <c r="E204" t="s">
        <v>18</v>
      </c>
      <c r="F204">
        <v>15</v>
      </c>
      <c r="G204">
        <v>210</v>
      </c>
      <c r="H204">
        <v>4</v>
      </c>
      <c r="I204">
        <v>460</v>
      </c>
      <c r="J204">
        <v>595</v>
      </c>
      <c r="K204">
        <f t="shared" si="3"/>
        <v>135</v>
      </c>
      <c r="L204">
        <v>20.93</v>
      </c>
      <c r="M204">
        <f>B204/288.77*1000</f>
        <v>2.0777781625515117</v>
      </c>
      <c r="N204">
        <f>D204/180.16*1000</f>
        <v>2.7753108348134994</v>
      </c>
      <c r="O204">
        <v>1</v>
      </c>
    </row>
    <row r="205" spans="1:15" x14ac:dyDescent="0.25">
      <c r="A205" s="5" t="s">
        <v>64</v>
      </c>
      <c r="B205">
        <v>0.7</v>
      </c>
      <c r="C205" t="s">
        <v>37</v>
      </c>
      <c r="D205">
        <v>0.9</v>
      </c>
      <c r="E205" t="s">
        <v>18</v>
      </c>
      <c r="F205">
        <v>15</v>
      </c>
      <c r="G205">
        <v>210</v>
      </c>
      <c r="H205">
        <v>6</v>
      </c>
      <c r="I205">
        <v>390</v>
      </c>
      <c r="J205">
        <v>510</v>
      </c>
      <c r="K205">
        <f t="shared" si="3"/>
        <v>120</v>
      </c>
      <c r="L205">
        <v>30.94</v>
      </c>
      <c r="M205">
        <f>B205/108.14*1000</f>
        <v>6.4730904383206944</v>
      </c>
      <c r="N205">
        <f>D205/288.77*1000</f>
        <v>3.1166672438272673</v>
      </c>
      <c r="O205">
        <v>1</v>
      </c>
    </row>
    <row r="206" spans="1:15" x14ac:dyDescent="0.25">
      <c r="A206" s="5" t="s">
        <v>50</v>
      </c>
      <c r="B206">
        <v>0.8</v>
      </c>
      <c r="C206" t="s">
        <v>37</v>
      </c>
      <c r="D206">
        <v>0.3</v>
      </c>
      <c r="E206" t="s">
        <v>33</v>
      </c>
      <c r="F206">
        <v>15</v>
      </c>
      <c r="G206">
        <v>170</v>
      </c>
      <c r="H206">
        <v>7</v>
      </c>
      <c r="I206">
        <v>300</v>
      </c>
      <c r="J206">
        <v>640</v>
      </c>
      <c r="K206">
        <f t="shared" si="3"/>
        <v>340</v>
      </c>
      <c r="L206">
        <v>0.88</v>
      </c>
      <c r="M206">
        <f>B206/126.12*1000</f>
        <v>6.3431652394544882</v>
      </c>
      <c r="N206">
        <f>D206/288.77*1000</f>
        <v>1.0388890812757559</v>
      </c>
      <c r="O206">
        <v>0</v>
      </c>
    </row>
    <row r="207" spans="1:15" x14ac:dyDescent="0.25">
      <c r="A207" s="5" t="s">
        <v>51</v>
      </c>
      <c r="B207">
        <v>0.2</v>
      </c>
      <c r="C207" t="s">
        <v>37</v>
      </c>
      <c r="D207">
        <v>0.6</v>
      </c>
      <c r="E207" t="s">
        <v>39</v>
      </c>
      <c r="F207">
        <v>15</v>
      </c>
      <c r="G207">
        <v>200</v>
      </c>
      <c r="H207">
        <v>8</v>
      </c>
      <c r="I207">
        <v>440</v>
      </c>
      <c r="J207">
        <v>520</v>
      </c>
      <c r="K207">
        <f t="shared" si="3"/>
        <v>80</v>
      </c>
      <c r="L207">
        <v>14.66</v>
      </c>
      <c r="M207">
        <f>B207/108.14 *1000</f>
        <v>1.8494544109487703</v>
      </c>
      <c r="N207">
        <f>D207/288.77*1000</f>
        <v>2.0777781625515117</v>
      </c>
      <c r="O207">
        <v>1</v>
      </c>
    </row>
    <row r="208" spans="1:15" x14ac:dyDescent="0.25">
      <c r="A208" t="s">
        <v>38</v>
      </c>
      <c r="B208">
        <v>0.1</v>
      </c>
      <c r="C208" t="s">
        <v>37</v>
      </c>
      <c r="D208">
        <v>0.8</v>
      </c>
      <c r="E208" t="s">
        <v>35</v>
      </c>
      <c r="F208">
        <v>15</v>
      </c>
      <c r="G208">
        <v>220</v>
      </c>
      <c r="H208">
        <v>9</v>
      </c>
      <c r="I208">
        <v>460</v>
      </c>
      <c r="J208">
        <v>595</v>
      </c>
      <c r="K208">
        <f t="shared" si="3"/>
        <v>135</v>
      </c>
      <c r="L208">
        <v>21.4</v>
      </c>
      <c r="M208">
        <f>B208/108.14 *1000</f>
        <v>0.92472720547438514</v>
      </c>
      <c r="N208">
        <f>D208/288.77*1000</f>
        <v>2.7703708834020158</v>
      </c>
      <c r="O208">
        <v>1</v>
      </c>
    </row>
    <row r="209" spans="1:15" x14ac:dyDescent="0.25">
      <c r="A209" s="5" t="s">
        <v>65</v>
      </c>
      <c r="B209">
        <v>0.25</v>
      </c>
      <c r="C209" s="5" t="s">
        <v>52</v>
      </c>
      <c r="D209">
        <v>0.9</v>
      </c>
      <c r="E209" t="s">
        <v>39</v>
      </c>
      <c r="F209">
        <v>15</v>
      </c>
      <c r="G209">
        <v>140</v>
      </c>
      <c r="H209">
        <v>9</v>
      </c>
      <c r="I209">
        <v>360</v>
      </c>
      <c r="J209">
        <v>460</v>
      </c>
      <c r="K209">
        <f t="shared" si="3"/>
        <v>100</v>
      </c>
      <c r="L209">
        <v>67.23</v>
      </c>
      <c r="M209">
        <f>B209/192.12 *1000</f>
        <v>1.3012700395586092</v>
      </c>
      <c r="N209">
        <f>D209/181.14*1000</f>
        <v>4.9685326266975824</v>
      </c>
      <c r="O209">
        <v>1</v>
      </c>
    </row>
    <row r="210" spans="1:15" x14ac:dyDescent="0.25">
      <c r="A210" t="s">
        <v>16</v>
      </c>
      <c r="B210">
        <v>0.8</v>
      </c>
      <c r="C210" s="5" t="s">
        <v>52</v>
      </c>
      <c r="D210">
        <v>0.65</v>
      </c>
      <c r="E210" t="s">
        <v>15</v>
      </c>
      <c r="F210">
        <v>15</v>
      </c>
      <c r="G210">
        <v>140</v>
      </c>
      <c r="H210">
        <v>4</v>
      </c>
      <c r="I210">
        <v>350</v>
      </c>
      <c r="J210">
        <v>445</v>
      </c>
      <c r="K210">
        <f t="shared" si="3"/>
        <v>95</v>
      </c>
      <c r="L210">
        <v>31.79</v>
      </c>
      <c r="M210">
        <f>B210/180.16*1000</f>
        <v>4.4404973357015995</v>
      </c>
      <c r="N210">
        <f>D210/181.14*1000</f>
        <v>3.5883846748371426</v>
      </c>
      <c r="O210">
        <v>1</v>
      </c>
    </row>
    <row r="211" spans="1:15" x14ac:dyDescent="0.25">
      <c r="A211" s="5" t="s">
        <v>52</v>
      </c>
      <c r="B211">
        <v>0.8</v>
      </c>
      <c r="C211" s="5" t="s">
        <v>53</v>
      </c>
      <c r="D211">
        <v>0.85</v>
      </c>
      <c r="E211" t="s">
        <v>33</v>
      </c>
      <c r="F211">
        <v>15</v>
      </c>
      <c r="G211">
        <v>220</v>
      </c>
      <c r="H211">
        <v>8</v>
      </c>
      <c r="I211">
        <v>380</v>
      </c>
      <c r="J211">
        <v>480</v>
      </c>
      <c r="K211">
        <f t="shared" si="3"/>
        <v>100</v>
      </c>
      <c r="L211">
        <v>5.15</v>
      </c>
      <c r="M211">
        <f>B211/181.14*1000</f>
        <v>4.4164734459534065</v>
      </c>
      <c r="N211">
        <f>D211/240.3*1000</f>
        <v>3.5372451102788176</v>
      </c>
      <c r="O211">
        <v>1</v>
      </c>
    </row>
    <row r="212" spans="1:15" x14ac:dyDescent="0.25">
      <c r="A212" s="5" t="s">
        <v>52</v>
      </c>
      <c r="B212">
        <v>0.4</v>
      </c>
      <c r="C212" s="5" t="s">
        <v>54</v>
      </c>
      <c r="D212">
        <v>0.2</v>
      </c>
      <c r="E212" t="s">
        <v>18</v>
      </c>
      <c r="F212">
        <v>15</v>
      </c>
      <c r="G212">
        <v>210</v>
      </c>
      <c r="H212">
        <v>5</v>
      </c>
      <c r="I212">
        <v>360</v>
      </c>
      <c r="J212">
        <v>435</v>
      </c>
      <c r="K212">
        <f t="shared" si="3"/>
        <v>75</v>
      </c>
      <c r="L212">
        <v>67.8</v>
      </c>
      <c r="M212">
        <f>B212/181.14*1000</f>
        <v>2.2082367229767033</v>
      </c>
      <c r="N212">
        <f>D212/146.19*1000</f>
        <v>1.3680826321909845</v>
      </c>
      <c r="O212">
        <v>1</v>
      </c>
    </row>
    <row r="213" spans="1:15" x14ac:dyDescent="0.25">
      <c r="A213" s="5" t="s">
        <v>52</v>
      </c>
      <c r="B213">
        <v>0.2</v>
      </c>
      <c r="C213" t="s">
        <v>16</v>
      </c>
      <c r="D213">
        <v>0.9</v>
      </c>
      <c r="E213" t="s">
        <v>33</v>
      </c>
      <c r="F213">
        <v>15</v>
      </c>
      <c r="G213">
        <v>150</v>
      </c>
      <c r="H213">
        <v>8</v>
      </c>
      <c r="I213">
        <v>350</v>
      </c>
      <c r="J213">
        <v>485</v>
      </c>
      <c r="K213">
        <f t="shared" si="3"/>
        <v>135</v>
      </c>
      <c r="L213">
        <v>3.73</v>
      </c>
      <c r="M213">
        <f>B213/181.14*1000</f>
        <v>1.1041183614883516</v>
      </c>
      <c r="N213">
        <f>D213/180.16*1000</f>
        <v>4.9955595026642987</v>
      </c>
      <c r="O213">
        <v>1</v>
      </c>
    </row>
    <row r="214" spans="1:15" x14ac:dyDescent="0.25">
      <c r="A214" s="5" t="s">
        <v>52</v>
      </c>
      <c r="B214">
        <v>0.6</v>
      </c>
      <c r="C214" s="5" t="s">
        <v>52</v>
      </c>
      <c r="D214">
        <v>0.6</v>
      </c>
      <c r="E214" t="s">
        <v>39</v>
      </c>
      <c r="F214">
        <v>15</v>
      </c>
      <c r="G214">
        <v>140</v>
      </c>
      <c r="H214">
        <v>9</v>
      </c>
      <c r="I214">
        <v>360</v>
      </c>
      <c r="J214">
        <v>460</v>
      </c>
      <c r="K214">
        <f t="shared" si="3"/>
        <v>100</v>
      </c>
      <c r="L214">
        <v>65.739999999999995</v>
      </c>
      <c r="M214">
        <f>B214/181.14*1000</f>
        <v>3.3123550844650547</v>
      </c>
      <c r="N214">
        <f>D214/181.14*1000</f>
        <v>3.3123550844650547</v>
      </c>
      <c r="O214">
        <v>1</v>
      </c>
    </row>
    <row r="215" spans="1:15" x14ac:dyDescent="0.25">
      <c r="A215" t="s">
        <v>37</v>
      </c>
      <c r="B215">
        <v>0.6</v>
      </c>
      <c r="C215" t="s">
        <v>42</v>
      </c>
      <c r="D215">
        <v>0.5</v>
      </c>
      <c r="E215" t="s">
        <v>15</v>
      </c>
      <c r="F215">
        <v>15</v>
      </c>
      <c r="G215">
        <v>150</v>
      </c>
      <c r="H215">
        <v>6</v>
      </c>
      <c r="I215">
        <v>530</v>
      </c>
      <c r="J215">
        <v>640</v>
      </c>
      <c r="K215">
        <f t="shared" si="3"/>
        <v>110</v>
      </c>
      <c r="L215">
        <v>1.01</v>
      </c>
      <c r="M215">
        <f>B215/288.77*1000</f>
        <v>2.0777781625515117</v>
      </c>
      <c r="N215">
        <f>D215/240.3*1000</f>
        <v>2.0807324178110691</v>
      </c>
      <c r="O215">
        <v>0</v>
      </c>
    </row>
    <row r="216" spans="1:15" x14ac:dyDescent="0.25">
      <c r="A216" s="5" t="s">
        <v>55</v>
      </c>
      <c r="B216">
        <v>0.2</v>
      </c>
      <c r="C216" t="s">
        <v>37</v>
      </c>
      <c r="D216">
        <v>0.6</v>
      </c>
      <c r="E216" t="s">
        <v>39</v>
      </c>
      <c r="F216">
        <v>15</v>
      </c>
      <c r="G216">
        <v>180</v>
      </c>
      <c r="H216">
        <v>8</v>
      </c>
      <c r="I216">
        <v>430</v>
      </c>
      <c r="J216">
        <v>620</v>
      </c>
      <c r="K216">
        <f t="shared" si="3"/>
        <v>190</v>
      </c>
      <c r="L216">
        <v>0.26</v>
      </c>
      <c r="M216">
        <f>B216/173.19*1000</f>
        <v>1.1548010855130204</v>
      </c>
      <c r="N216">
        <f>D216/288.77*1000</f>
        <v>2.0777781625515117</v>
      </c>
      <c r="O216">
        <v>0</v>
      </c>
    </row>
    <row r="217" spans="1:15" x14ac:dyDescent="0.25">
      <c r="A217" s="5" t="s">
        <v>56</v>
      </c>
      <c r="B217">
        <v>0.7</v>
      </c>
      <c r="C217" s="5" t="s">
        <v>52</v>
      </c>
      <c r="D217">
        <v>0.1</v>
      </c>
      <c r="E217" t="s">
        <v>15</v>
      </c>
      <c r="F217">
        <v>15</v>
      </c>
      <c r="G217">
        <v>170</v>
      </c>
      <c r="H217">
        <v>6</v>
      </c>
      <c r="I217">
        <v>330</v>
      </c>
      <c r="J217">
        <v>435</v>
      </c>
      <c r="K217">
        <f t="shared" si="3"/>
        <v>105</v>
      </c>
      <c r="L217">
        <v>22.89</v>
      </c>
      <c r="M217">
        <f>B217/166.13*1000</f>
        <v>4.2135676879552157</v>
      </c>
      <c r="N217">
        <f>D217/181.14*1000</f>
        <v>0.55205918074417581</v>
      </c>
      <c r="O217">
        <v>1</v>
      </c>
    </row>
    <row r="218" spans="1:15" x14ac:dyDescent="0.25">
      <c r="A218" s="5" t="s">
        <v>66</v>
      </c>
      <c r="B218">
        <v>0.2</v>
      </c>
      <c r="C218" t="s">
        <v>37</v>
      </c>
      <c r="D218">
        <v>0.2</v>
      </c>
      <c r="E218" t="s">
        <v>33</v>
      </c>
      <c r="F218">
        <v>15</v>
      </c>
      <c r="G218">
        <v>190</v>
      </c>
      <c r="H218">
        <v>6</v>
      </c>
      <c r="I218">
        <v>360</v>
      </c>
      <c r="J218">
        <v>440</v>
      </c>
      <c r="K218">
        <f t="shared" si="3"/>
        <v>80</v>
      </c>
      <c r="L218">
        <v>0.18</v>
      </c>
      <c r="M218">
        <f>B218/189.63*1000</f>
        <v>1.0546854400674999</v>
      </c>
      <c r="N218">
        <f>D218/288.77*1000</f>
        <v>0.69259272085050394</v>
      </c>
      <c r="O218">
        <v>0</v>
      </c>
    </row>
    <row r="219" spans="1:15" x14ac:dyDescent="0.25">
      <c r="A219" t="s">
        <v>37</v>
      </c>
      <c r="B219">
        <v>1</v>
      </c>
      <c r="C219" t="s">
        <v>25</v>
      </c>
      <c r="D219">
        <v>0.4</v>
      </c>
      <c r="E219" t="s">
        <v>18</v>
      </c>
      <c r="F219">
        <v>15</v>
      </c>
      <c r="G219">
        <v>210</v>
      </c>
      <c r="H219">
        <v>4</v>
      </c>
      <c r="I219">
        <v>460</v>
      </c>
      <c r="J219">
        <v>585</v>
      </c>
      <c r="K219">
        <f t="shared" si="3"/>
        <v>125</v>
      </c>
      <c r="L219">
        <v>19.07</v>
      </c>
      <c r="M219">
        <f>B219/288.77*1000</f>
        <v>3.4629636042525194</v>
      </c>
      <c r="N219">
        <f>D219/126.12*1000</f>
        <v>3.1715826197272441</v>
      </c>
      <c r="O219">
        <v>1</v>
      </c>
    </row>
    <row r="220" spans="1:15" x14ac:dyDescent="0.25">
      <c r="A220" s="5" t="s">
        <v>57</v>
      </c>
      <c r="B220">
        <v>0.25</v>
      </c>
      <c r="C220" t="s">
        <v>37</v>
      </c>
      <c r="D220">
        <v>0.9</v>
      </c>
      <c r="E220" t="s">
        <v>35</v>
      </c>
      <c r="F220">
        <v>15</v>
      </c>
      <c r="G220">
        <v>220</v>
      </c>
      <c r="H220">
        <v>5</v>
      </c>
      <c r="I220">
        <v>460</v>
      </c>
      <c r="J220">
        <v>600</v>
      </c>
      <c r="K220">
        <f t="shared" si="3"/>
        <v>140</v>
      </c>
      <c r="L220">
        <v>15.68</v>
      </c>
      <c r="M220">
        <f>B220/149.21*1000</f>
        <v>1.6754909188392197</v>
      </c>
      <c r="N220">
        <f>D220/288.77*1000</f>
        <v>3.1166672438272673</v>
      </c>
      <c r="O220">
        <v>1</v>
      </c>
    </row>
    <row r="221" spans="1:15" x14ac:dyDescent="0.25">
      <c r="A221" s="5" t="s">
        <v>58</v>
      </c>
      <c r="B221">
        <v>0.3</v>
      </c>
      <c r="C221" t="s">
        <v>37</v>
      </c>
      <c r="D221">
        <v>0.9</v>
      </c>
      <c r="E221" t="s">
        <v>18</v>
      </c>
      <c r="F221">
        <v>15</v>
      </c>
      <c r="G221">
        <v>150</v>
      </c>
      <c r="H221">
        <v>10</v>
      </c>
      <c r="I221">
        <v>460</v>
      </c>
      <c r="J221">
        <v>595</v>
      </c>
      <c r="K221">
        <f t="shared" si="3"/>
        <v>135</v>
      </c>
      <c r="L221">
        <v>23.09</v>
      </c>
      <c r="M221">
        <f>B221/121.16*1000</f>
        <v>2.4760647078243641</v>
      </c>
      <c r="N221">
        <f>D221/288.77*1000</f>
        <v>3.1166672438272673</v>
      </c>
      <c r="O221">
        <v>1</v>
      </c>
    </row>
    <row r="222" spans="1:15" x14ac:dyDescent="0.25">
      <c r="A222" s="5" t="s">
        <v>59</v>
      </c>
      <c r="B222">
        <v>0.3</v>
      </c>
      <c r="C222" t="s">
        <v>37</v>
      </c>
      <c r="D222">
        <v>0.1</v>
      </c>
      <c r="E222" t="s">
        <v>35</v>
      </c>
      <c r="F222">
        <v>15</v>
      </c>
      <c r="G222">
        <v>210</v>
      </c>
      <c r="H222">
        <v>10</v>
      </c>
      <c r="I222">
        <v>460</v>
      </c>
      <c r="J222">
        <v>585</v>
      </c>
      <c r="K222">
        <f t="shared" si="3"/>
        <v>125</v>
      </c>
      <c r="L222">
        <v>33.76</v>
      </c>
      <c r="M222">
        <f>B222/105.09*1000</f>
        <v>2.8546959748786751</v>
      </c>
      <c r="N222">
        <f>D222/288.77*1000</f>
        <v>0.34629636042525197</v>
      </c>
      <c r="O222">
        <v>1</v>
      </c>
    </row>
    <row r="223" spans="1:15" x14ac:dyDescent="0.25">
      <c r="A223" t="s">
        <v>37</v>
      </c>
      <c r="B223">
        <v>0.75</v>
      </c>
      <c r="C223" s="5" t="s">
        <v>58</v>
      </c>
      <c r="D223">
        <v>0.2</v>
      </c>
      <c r="E223" t="s">
        <v>15</v>
      </c>
      <c r="F223">
        <v>15</v>
      </c>
      <c r="G223">
        <v>240</v>
      </c>
      <c r="H223">
        <v>7</v>
      </c>
      <c r="I223">
        <v>370</v>
      </c>
      <c r="J223">
        <v>535</v>
      </c>
      <c r="K223">
        <f t="shared" si="3"/>
        <v>165</v>
      </c>
      <c r="L223">
        <v>3.76</v>
      </c>
      <c r="M223">
        <f>B223/288.77*1000</f>
        <v>2.5972227031893897</v>
      </c>
      <c r="N223">
        <f>D223/121.16*1000</f>
        <v>1.650709805216243</v>
      </c>
      <c r="O223">
        <v>1</v>
      </c>
    </row>
    <row r="224" spans="1:15" x14ac:dyDescent="0.25">
      <c r="A224" s="5" t="s">
        <v>60</v>
      </c>
      <c r="B224">
        <v>0.2</v>
      </c>
      <c r="C224" t="s">
        <v>37</v>
      </c>
      <c r="D224">
        <v>0.6</v>
      </c>
      <c r="E224" t="s">
        <v>39</v>
      </c>
      <c r="F224">
        <v>15</v>
      </c>
      <c r="G224">
        <v>170</v>
      </c>
      <c r="H224">
        <v>7</v>
      </c>
      <c r="I224">
        <v>430</v>
      </c>
      <c r="J224">
        <v>615</v>
      </c>
      <c r="K224">
        <f t="shared" si="3"/>
        <v>185</v>
      </c>
      <c r="L224">
        <v>5.22</v>
      </c>
      <c r="M224">
        <f>B224/138.12*1000</f>
        <v>1.4480162177816391</v>
      </c>
      <c r="N224">
        <f>D224/288.77*1000</f>
        <v>2.0777781625515117</v>
      </c>
      <c r="O224">
        <v>1</v>
      </c>
    </row>
    <row r="225" spans="1:15" x14ac:dyDescent="0.25">
      <c r="A225" t="s">
        <v>37</v>
      </c>
      <c r="B225">
        <v>0.7</v>
      </c>
      <c r="C225" s="5" t="s">
        <v>72</v>
      </c>
      <c r="D225">
        <v>0.8</v>
      </c>
      <c r="E225" t="s">
        <v>15</v>
      </c>
      <c r="F225">
        <v>15</v>
      </c>
      <c r="G225">
        <v>170</v>
      </c>
      <c r="H225">
        <v>10</v>
      </c>
      <c r="I225">
        <v>440</v>
      </c>
      <c r="J225">
        <v>535</v>
      </c>
      <c r="K225">
        <f t="shared" si="3"/>
        <v>95</v>
      </c>
      <c r="L225">
        <v>5.54</v>
      </c>
      <c r="M225">
        <f>B225/288.77*1000</f>
        <v>2.4240745229767633</v>
      </c>
      <c r="N225">
        <f>D225/121.16*1000</f>
        <v>6.602839220864972</v>
      </c>
      <c r="O225">
        <v>1</v>
      </c>
    </row>
    <row r="226" spans="1:15" x14ac:dyDescent="0.25">
      <c r="A226" t="s">
        <v>37</v>
      </c>
      <c r="B226">
        <v>0.8</v>
      </c>
      <c r="C226" t="s">
        <v>22</v>
      </c>
      <c r="D226">
        <v>0.3</v>
      </c>
      <c r="E226" t="s">
        <v>33</v>
      </c>
      <c r="F226">
        <v>15</v>
      </c>
      <c r="G226">
        <v>210</v>
      </c>
      <c r="H226">
        <v>9</v>
      </c>
      <c r="I226">
        <v>240</v>
      </c>
      <c r="J226">
        <v>350</v>
      </c>
      <c r="K226">
        <f t="shared" si="3"/>
        <v>110</v>
      </c>
      <c r="L226">
        <v>5.5</v>
      </c>
      <c r="M226">
        <f>B226/288.77*1000</f>
        <v>2.7703708834020158</v>
      </c>
      <c r="N226">
        <f>D226/108.14 *1000</f>
        <v>2.7741816164231548</v>
      </c>
      <c r="O226">
        <v>0</v>
      </c>
    </row>
    <row r="227" spans="1:15" x14ac:dyDescent="0.25">
      <c r="A227" t="s">
        <v>37</v>
      </c>
      <c r="B227">
        <v>0.2</v>
      </c>
      <c r="C227" t="s">
        <v>13</v>
      </c>
      <c r="D227">
        <v>0.8</v>
      </c>
      <c r="E227" t="s">
        <v>39</v>
      </c>
      <c r="F227">
        <v>15</v>
      </c>
      <c r="G227">
        <v>160</v>
      </c>
      <c r="H227">
        <v>7</v>
      </c>
      <c r="I227">
        <v>430</v>
      </c>
      <c r="J227">
        <v>615</v>
      </c>
      <c r="K227">
        <f t="shared" si="3"/>
        <v>185</v>
      </c>
      <c r="L227">
        <v>0.12</v>
      </c>
      <c r="M227">
        <f>B227/288.77*1000</f>
        <v>0.69259272085050394</v>
      </c>
      <c r="N227">
        <f>D227/149.21*1000</f>
        <v>5.3615709402855032</v>
      </c>
      <c r="O227">
        <v>0</v>
      </c>
    </row>
    <row r="228" spans="1:15" x14ac:dyDescent="0.25">
      <c r="A228" s="5" t="s">
        <v>67</v>
      </c>
      <c r="B228">
        <v>0.5</v>
      </c>
      <c r="C228" t="s">
        <v>37</v>
      </c>
      <c r="D228">
        <v>0.4</v>
      </c>
      <c r="E228" t="s">
        <v>18</v>
      </c>
      <c r="F228">
        <v>15</v>
      </c>
      <c r="G228">
        <v>140</v>
      </c>
      <c r="H228">
        <v>6</v>
      </c>
      <c r="I228">
        <v>460</v>
      </c>
      <c r="J228">
        <v>590</v>
      </c>
      <c r="K228">
        <f t="shared" si="3"/>
        <v>130</v>
      </c>
      <c r="L228">
        <v>22.29</v>
      </c>
      <c r="M228">
        <f>B228/131.18*1000</f>
        <v>3.8115566397316663</v>
      </c>
      <c r="N228">
        <f>D228/288.77*1000</f>
        <v>1.3851854417010079</v>
      </c>
      <c r="O228">
        <v>1</v>
      </c>
    </row>
  </sheetData>
  <autoFilter ref="J1:J228" xr:uid="{00000000-0001-0000-0000-000000000000}"/>
  <phoneticPr fontId="3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#TANG YAOYAO#</cp:lastModifiedBy>
  <dcterms:created xsi:type="dcterms:W3CDTF">2025-07-04T05:10:00Z</dcterms:created>
  <dcterms:modified xsi:type="dcterms:W3CDTF">2026-07-04T06:40:16Z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30E4C9CCC5E3496DB8CDBE79DC1A1E1A_12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